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BelloPortatil\RENOVACION CURRICULARnew1\20230420 InformesDefinitivos\ProgramasDefinitivos y cambio Normas Transición\"/>
    </mc:Choice>
  </mc:AlternateContent>
  <bookViews>
    <workbookView xWindow="0" yWindow="0" windowWidth="14490" windowHeight="9120" tabRatio="342"/>
  </bookViews>
  <sheets>
    <sheet name="INGENIERÍA INFORMÁTICA" sheetId="33" r:id="rId1"/>
    <sheet name="DETALLES" sheetId="40" state="hidden" r:id="rId2"/>
    <sheet name="Sheet2" sheetId="35" state="hidden" r:id="rId3"/>
    <sheet name="Sheet4" sheetId="39" state="hidden" r:id="rId4"/>
  </sheets>
  <definedNames>
    <definedName name="_xlnm.Print_Area" localSheetId="1">DETALLES!$E$1:$V$75</definedName>
    <definedName name="_xlnm.Print_Area" localSheetId="0">'INGENIERÍA INFORMÁTICA'!$A$1:$S$104</definedName>
    <definedName name="_xlnm.Print_Titles" localSheetId="1">DETALLES!$1:$7</definedName>
    <definedName name="_xlnm.Print_Titles" localSheetId="0">'INGENIERÍA INFORMÁTICA'!$1:$5</definedName>
  </definedNames>
  <calcPr calcId="162913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3" i="33" l="1"/>
  <c r="K74" i="33"/>
  <c r="J74" i="33"/>
  <c r="N65" i="40" l="1"/>
  <c r="N56" i="40"/>
  <c r="N47" i="40"/>
  <c r="N38" i="40"/>
  <c r="N30" i="40"/>
  <c r="N22" i="40"/>
  <c r="N15" i="40"/>
  <c r="N8" i="40"/>
  <c r="N73" i="40"/>
  <c r="N67" i="40"/>
  <c r="N68" i="40"/>
  <c r="N69" i="40"/>
  <c r="N70" i="40"/>
  <c r="N71" i="40"/>
  <c r="N72" i="40"/>
  <c r="N66" i="40"/>
  <c r="N64" i="40"/>
  <c r="N58" i="40"/>
  <c r="N59" i="40"/>
  <c r="N60" i="40"/>
  <c r="N61" i="40"/>
  <c r="N62" i="40"/>
  <c r="N63" i="40"/>
  <c r="N57" i="40"/>
  <c r="N54" i="40"/>
  <c r="N49" i="40"/>
  <c r="N50" i="40"/>
  <c r="N51" i="40"/>
  <c r="N52" i="40"/>
  <c r="N53" i="40"/>
  <c r="N48" i="40"/>
  <c r="N45" i="40"/>
  <c r="N40" i="40"/>
  <c r="N41" i="40"/>
  <c r="N42" i="40"/>
  <c r="N43" i="40"/>
  <c r="N44" i="40"/>
  <c r="N39" i="40"/>
  <c r="N37" i="40"/>
  <c r="N32" i="40"/>
  <c r="N33" i="40"/>
  <c r="N34" i="40"/>
  <c r="N35" i="40"/>
  <c r="N36" i="40"/>
  <c r="N31" i="40"/>
  <c r="N24" i="40"/>
  <c r="N25" i="40"/>
  <c r="N26" i="40"/>
  <c r="N27" i="40"/>
  <c r="N28" i="40"/>
  <c r="N29" i="40"/>
  <c r="N23" i="40"/>
  <c r="N21" i="40"/>
  <c r="N17" i="40"/>
  <c r="N18" i="40"/>
  <c r="N19" i="40"/>
  <c r="N20" i="40"/>
  <c r="N16" i="40"/>
  <c r="N14" i="40"/>
  <c r="N10" i="40"/>
  <c r="N11" i="40"/>
  <c r="N12" i="40"/>
  <c r="N13" i="40"/>
  <c r="N9" i="40"/>
  <c r="N46" i="40"/>
  <c r="N55" i="40"/>
  <c r="N74" i="40"/>
  <c r="N75" i="40" s="1"/>
  <c r="G5" i="40"/>
  <c r="W46" i="40" l="1"/>
  <c r="W55" i="40"/>
  <c r="B8" i="40"/>
  <c r="C8" i="40"/>
  <c r="D8" i="40"/>
  <c r="A8" i="40"/>
  <c r="I73" i="40"/>
  <c r="M72" i="40"/>
  <c r="K72" i="40"/>
  <c r="I72" i="40"/>
  <c r="W72" i="40" s="1"/>
  <c r="M71" i="40"/>
  <c r="K71" i="40"/>
  <c r="I71" i="40"/>
  <c r="M70" i="40"/>
  <c r="K70" i="40"/>
  <c r="I70" i="40"/>
  <c r="M69" i="40"/>
  <c r="K69" i="40"/>
  <c r="I69" i="40"/>
  <c r="W69" i="40" s="1"/>
  <c r="M68" i="40"/>
  <c r="K68" i="40"/>
  <c r="I68" i="40"/>
  <c r="W68" i="40" s="1"/>
  <c r="M67" i="40"/>
  <c r="K67" i="40"/>
  <c r="I67" i="40"/>
  <c r="W67" i="40" s="1"/>
  <c r="M66" i="40"/>
  <c r="K66" i="40"/>
  <c r="I66" i="40"/>
  <c r="W66" i="40" s="1"/>
  <c r="J65" i="40"/>
  <c r="H65" i="40"/>
  <c r="G65" i="40"/>
  <c r="F65" i="40"/>
  <c r="I64" i="40"/>
  <c r="M63" i="40"/>
  <c r="K63" i="40"/>
  <c r="I63" i="40"/>
  <c r="M62" i="40"/>
  <c r="K62" i="40"/>
  <c r="I62" i="40"/>
  <c r="W62" i="40" s="1"/>
  <c r="M61" i="40"/>
  <c r="K61" i="40"/>
  <c r="I61" i="40"/>
  <c r="W61" i="40" s="1"/>
  <c r="M60" i="40"/>
  <c r="K60" i="40"/>
  <c r="I60" i="40"/>
  <c r="W60" i="40" s="1"/>
  <c r="M59" i="40"/>
  <c r="K59" i="40"/>
  <c r="I59" i="40"/>
  <c r="W59" i="40" s="1"/>
  <c r="M58" i="40"/>
  <c r="K58" i="40"/>
  <c r="I58" i="40"/>
  <c r="W58" i="40" s="1"/>
  <c r="M57" i="40"/>
  <c r="K57" i="40"/>
  <c r="I57" i="40"/>
  <c r="W57" i="40" s="1"/>
  <c r="J56" i="40"/>
  <c r="H56" i="40"/>
  <c r="G56" i="40"/>
  <c r="F56" i="40"/>
  <c r="M54" i="40"/>
  <c r="K54" i="40"/>
  <c r="I54" i="40"/>
  <c r="W54" i="40" s="1"/>
  <c r="M53" i="40"/>
  <c r="K53" i="40"/>
  <c r="I53" i="40"/>
  <c r="W53" i="40" s="1"/>
  <c r="M52" i="40"/>
  <c r="K52" i="40"/>
  <c r="I52" i="40"/>
  <c r="W52" i="40" s="1"/>
  <c r="M51" i="40"/>
  <c r="K51" i="40"/>
  <c r="I51" i="40"/>
  <c r="W51" i="40" s="1"/>
  <c r="M50" i="40"/>
  <c r="K50" i="40"/>
  <c r="I50" i="40"/>
  <c r="W50" i="40" s="1"/>
  <c r="M49" i="40"/>
  <c r="K49" i="40"/>
  <c r="I49" i="40"/>
  <c r="M48" i="40"/>
  <c r="K48" i="40"/>
  <c r="I48" i="40"/>
  <c r="W48" i="40" s="1"/>
  <c r="J47" i="40"/>
  <c r="H47" i="40"/>
  <c r="G47" i="40"/>
  <c r="F47" i="40"/>
  <c r="M45" i="40"/>
  <c r="K45" i="40"/>
  <c r="I45" i="40"/>
  <c r="W45" i="40" s="1"/>
  <c r="M44" i="40"/>
  <c r="K44" i="40"/>
  <c r="I44" i="40"/>
  <c r="W44" i="40" s="1"/>
  <c r="M43" i="40"/>
  <c r="K43" i="40"/>
  <c r="I43" i="40"/>
  <c r="W43" i="40" s="1"/>
  <c r="M42" i="40"/>
  <c r="K42" i="40"/>
  <c r="I42" i="40"/>
  <c r="M41" i="40"/>
  <c r="K41" i="40"/>
  <c r="I41" i="40"/>
  <c r="W41" i="40" s="1"/>
  <c r="M40" i="40"/>
  <c r="K40" i="40"/>
  <c r="I40" i="40"/>
  <c r="W40" i="40" s="1"/>
  <c r="M39" i="40"/>
  <c r="K39" i="40"/>
  <c r="I39" i="40"/>
  <c r="W39" i="40" s="1"/>
  <c r="J38" i="40"/>
  <c r="H38" i="40"/>
  <c r="G38" i="40"/>
  <c r="F38" i="40"/>
  <c r="M37" i="40"/>
  <c r="K37" i="40"/>
  <c r="I37" i="40"/>
  <c r="W37" i="40" s="1"/>
  <c r="M36" i="40"/>
  <c r="K36" i="40"/>
  <c r="I36" i="40"/>
  <c r="W36" i="40" s="1"/>
  <c r="M35" i="40"/>
  <c r="K35" i="40"/>
  <c r="I35" i="40"/>
  <c r="W35" i="40" s="1"/>
  <c r="M34" i="40"/>
  <c r="K34" i="40"/>
  <c r="I34" i="40"/>
  <c r="M33" i="40"/>
  <c r="K33" i="40"/>
  <c r="I33" i="40"/>
  <c r="W33" i="40" s="1"/>
  <c r="M32" i="40"/>
  <c r="K32" i="40"/>
  <c r="I32" i="40"/>
  <c r="W32" i="40" s="1"/>
  <c r="M31" i="40"/>
  <c r="K31" i="40"/>
  <c r="I31" i="40"/>
  <c r="W31" i="40" s="1"/>
  <c r="J30" i="40"/>
  <c r="H30" i="40"/>
  <c r="G30" i="40"/>
  <c r="F30" i="40"/>
  <c r="M29" i="40"/>
  <c r="K29" i="40"/>
  <c r="I29" i="40"/>
  <c r="M28" i="40"/>
  <c r="K28" i="40"/>
  <c r="I28" i="40"/>
  <c r="W28" i="40" s="1"/>
  <c r="M27" i="40"/>
  <c r="K27" i="40"/>
  <c r="I27" i="40"/>
  <c r="W27" i="40" s="1"/>
  <c r="M26" i="40"/>
  <c r="K26" i="40"/>
  <c r="I26" i="40"/>
  <c r="W26" i="40" s="1"/>
  <c r="M25" i="40"/>
  <c r="K25" i="40"/>
  <c r="I25" i="40"/>
  <c r="W25" i="40" s="1"/>
  <c r="M24" i="40"/>
  <c r="K24" i="40"/>
  <c r="I24" i="40"/>
  <c r="W24" i="40" s="1"/>
  <c r="M23" i="40"/>
  <c r="K23" i="40"/>
  <c r="I23" i="40"/>
  <c r="W23" i="40" s="1"/>
  <c r="J22" i="40"/>
  <c r="H22" i="40"/>
  <c r="G22" i="40"/>
  <c r="F22" i="40"/>
  <c r="M21" i="40"/>
  <c r="K21" i="40"/>
  <c r="I21" i="40"/>
  <c r="W21" i="40" s="1"/>
  <c r="M20" i="40"/>
  <c r="K20" i="40"/>
  <c r="I20" i="40"/>
  <c r="W20" i="40" s="1"/>
  <c r="M19" i="40"/>
  <c r="K19" i="40"/>
  <c r="I19" i="40"/>
  <c r="W19" i="40" s="1"/>
  <c r="M18" i="40"/>
  <c r="K18" i="40"/>
  <c r="I18" i="40"/>
  <c r="W18" i="40" s="1"/>
  <c r="M17" i="40"/>
  <c r="K17" i="40"/>
  <c r="I17" i="40"/>
  <c r="M16" i="40"/>
  <c r="K16" i="40"/>
  <c r="I16" i="40"/>
  <c r="J15" i="40"/>
  <c r="H15" i="40"/>
  <c r="G15" i="40"/>
  <c r="F15" i="40"/>
  <c r="M14" i="40"/>
  <c r="K14" i="40"/>
  <c r="I14" i="40"/>
  <c r="W14" i="40" s="1"/>
  <c r="M13" i="40"/>
  <c r="K13" i="40"/>
  <c r="I13" i="40"/>
  <c r="W13" i="40" s="1"/>
  <c r="M12" i="40"/>
  <c r="K12" i="40"/>
  <c r="I12" i="40"/>
  <c r="W12" i="40" s="1"/>
  <c r="M11" i="40"/>
  <c r="K11" i="40"/>
  <c r="I11" i="40"/>
  <c r="W11" i="40" s="1"/>
  <c r="M10" i="40"/>
  <c r="K10" i="40"/>
  <c r="I10" i="40"/>
  <c r="W10" i="40" s="1"/>
  <c r="M9" i="40"/>
  <c r="K9" i="40"/>
  <c r="I9" i="40"/>
  <c r="J8" i="40"/>
  <c r="H8" i="40"/>
  <c r="G8" i="40"/>
  <c r="F8" i="40"/>
  <c r="L9" i="40" l="1"/>
  <c r="W9" i="40"/>
  <c r="Z10" i="40"/>
  <c r="AA10" i="40"/>
  <c r="Y10" i="40"/>
  <c r="X10" i="40"/>
  <c r="Z11" i="40"/>
  <c r="AA11" i="40"/>
  <c r="Y11" i="40"/>
  <c r="X11" i="40"/>
  <c r="Z12" i="40"/>
  <c r="AA12" i="40"/>
  <c r="Y12" i="40"/>
  <c r="X12" i="40"/>
  <c r="Z13" i="40"/>
  <c r="AA13" i="40"/>
  <c r="Y13" i="40"/>
  <c r="X13" i="40"/>
  <c r="Z14" i="40"/>
  <c r="AA14" i="40"/>
  <c r="Y14" i="40"/>
  <c r="X14" i="40"/>
  <c r="L16" i="40"/>
  <c r="W16" i="40"/>
  <c r="L17" i="40"/>
  <c r="W17" i="40"/>
  <c r="Z18" i="40"/>
  <c r="AA18" i="40"/>
  <c r="Y18" i="40"/>
  <c r="X18" i="40"/>
  <c r="Z19" i="40"/>
  <c r="AA19" i="40"/>
  <c r="Y19" i="40"/>
  <c r="X19" i="40"/>
  <c r="Z20" i="40"/>
  <c r="AA20" i="40"/>
  <c r="Y20" i="40"/>
  <c r="X20" i="40"/>
  <c r="Z21" i="40"/>
  <c r="AA21" i="40"/>
  <c r="Y21" i="40"/>
  <c r="X21" i="40"/>
  <c r="Z23" i="40"/>
  <c r="AA23" i="40"/>
  <c r="Y23" i="40"/>
  <c r="X23" i="40"/>
  <c r="Z24" i="40"/>
  <c r="AA24" i="40"/>
  <c r="Y24" i="40"/>
  <c r="X24" i="40"/>
  <c r="Z25" i="40"/>
  <c r="AA25" i="40"/>
  <c r="Y25" i="40"/>
  <c r="X25" i="40"/>
  <c r="Z26" i="40"/>
  <c r="AA26" i="40"/>
  <c r="Y26" i="40"/>
  <c r="X26" i="40"/>
  <c r="Z27" i="40"/>
  <c r="AA27" i="40"/>
  <c r="Y27" i="40"/>
  <c r="X27" i="40"/>
  <c r="Z28" i="40"/>
  <c r="AA28" i="40"/>
  <c r="Y28" i="40"/>
  <c r="X28" i="40"/>
  <c r="L29" i="40"/>
  <c r="W29" i="40"/>
  <c r="Z31" i="40"/>
  <c r="AA31" i="40"/>
  <c r="Y31" i="40"/>
  <c r="X31" i="40"/>
  <c r="Z32" i="40"/>
  <c r="AA32" i="40"/>
  <c r="Y32" i="40"/>
  <c r="X32" i="40"/>
  <c r="Z33" i="40"/>
  <c r="AA33" i="40"/>
  <c r="Y33" i="40"/>
  <c r="X33" i="40"/>
  <c r="L34" i="40"/>
  <c r="W34" i="40"/>
  <c r="Z35" i="40"/>
  <c r="AA35" i="40"/>
  <c r="Y35" i="40"/>
  <c r="X35" i="40"/>
  <c r="Z36" i="40"/>
  <c r="AA36" i="40"/>
  <c r="Y36" i="40"/>
  <c r="X36" i="40"/>
  <c r="Z37" i="40"/>
  <c r="AA37" i="40"/>
  <c r="Y37" i="40"/>
  <c r="X37" i="40"/>
  <c r="Z39" i="40"/>
  <c r="AA39" i="40"/>
  <c r="Y39" i="40"/>
  <c r="X39" i="40"/>
  <c r="Z40" i="40"/>
  <c r="AA40" i="40"/>
  <c r="Y40" i="40"/>
  <c r="X40" i="40"/>
  <c r="Z41" i="40"/>
  <c r="AA41" i="40"/>
  <c r="Y41" i="40"/>
  <c r="X41" i="40"/>
  <c r="L42" i="40"/>
  <c r="W42" i="40"/>
  <c r="Z43" i="40"/>
  <c r="AA43" i="40"/>
  <c r="Y43" i="40"/>
  <c r="X43" i="40"/>
  <c r="Z44" i="40"/>
  <c r="AA44" i="40"/>
  <c r="Y44" i="40"/>
  <c r="X44" i="40"/>
  <c r="Z45" i="40"/>
  <c r="AA45" i="40"/>
  <c r="Y45" i="40"/>
  <c r="X45" i="40"/>
  <c r="Z48" i="40"/>
  <c r="AA48" i="40"/>
  <c r="Y48" i="40"/>
  <c r="X48" i="40"/>
  <c r="L49" i="40"/>
  <c r="W49" i="40"/>
  <c r="Z50" i="40"/>
  <c r="AA50" i="40"/>
  <c r="Y50" i="40"/>
  <c r="X50" i="40"/>
  <c r="Z51" i="40"/>
  <c r="AA51" i="40"/>
  <c r="Y51" i="40"/>
  <c r="X51" i="40"/>
  <c r="Z52" i="40"/>
  <c r="AA52" i="40"/>
  <c r="Y52" i="40"/>
  <c r="X52" i="40"/>
  <c r="Z53" i="40"/>
  <c r="AA53" i="40"/>
  <c r="Y53" i="40"/>
  <c r="X53" i="40"/>
  <c r="Z54" i="40"/>
  <c r="AA54" i="40"/>
  <c r="Y54" i="40"/>
  <c r="X54" i="40"/>
  <c r="Z57" i="40"/>
  <c r="AA57" i="40"/>
  <c r="Y57" i="40"/>
  <c r="X57" i="40"/>
  <c r="Z58" i="40"/>
  <c r="AA58" i="40"/>
  <c r="Y58" i="40"/>
  <c r="X58" i="40"/>
  <c r="Z59" i="40"/>
  <c r="AA59" i="40"/>
  <c r="Y59" i="40"/>
  <c r="X59" i="40"/>
  <c r="Z60" i="40"/>
  <c r="AA60" i="40"/>
  <c r="Y60" i="40"/>
  <c r="X60" i="40"/>
  <c r="Z61" i="40"/>
  <c r="AA61" i="40"/>
  <c r="Y61" i="40"/>
  <c r="X61" i="40"/>
  <c r="Z62" i="40"/>
  <c r="AA62" i="40"/>
  <c r="Y62" i="40"/>
  <c r="X62" i="40"/>
  <c r="L63" i="40"/>
  <c r="W63" i="40"/>
  <c r="L64" i="40"/>
  <c r="W64" i="40"/>
  <c r="Z66" i="40"/>
  <c r="AA66" i="40"/>
  <c r="Y66" i="40"/>
  <c r="X66" i="40"/>
  <c r="Z67" i="40"/>
  <c r="AA67" i="40"/>
  <c r="Y67" i="40"/>
  <c r="X67" i="40"/>
  <c r="Z68" i="40"/>
  <c r="AA68" i="40"/>
  <c r="Y68" i="40"/>
  <c r="X68" i="40"/>
  <c r="Z69" i="40"/>
  <c r="AA69" i="40"/>
  <c r="Y69" i="40"/>
  <c r="X69" i="40"/>
  <c r="L70" i="40"/>
  <c r="W70" i="40"/>
  <c r="L71" i="40"/>
  <c r="W71" i="40"/>
  <c r="Z72" i="40"/>
  <c r="AA72" i="40"/>
  <c r="Y72" i="40"/>
  <c r="X72" i="40"/>
  <c r="L73" i="40"/>
  <c r="W73" i="40"/>
  <c r="Z55" i="40"/>
  <c r="AA55" i="40"/>
  <c r="Y55" i="40"/>
  <c r="X55" i="40"/>
  <c r="Z46" i="40"/>
  <c r="AA46" i="40"/>
  <c r="Y46" i="40"/>
  <c r="X46" i="40"/>
  <c r="L14" i="40"/>
  <c r="L33" i="40"/>
  <c r="L35" i="40"/>
  <c r="L24" i="40"/>
  <c r="L37" i="40"/>
  <c r="L58" i="40"/>
  <c r="L13" i="40"/>
  <c r="L45" i="40"/>
  <c r="L39" i="40"/>
  <c r="L53" i="40"/>
  <c r="L21" i="40"/>
  <c r="L40" i="40"/>
  <c r="L54" i="40"/>
  <c r="L28" i="40"/>
  <c r="L48" i="40"/>
  <c r="L62" i="40"/>
  <c r="L69" i="40"/>
  <c r="L11" i="40"/>
  <c r="L43" i="40"/>
  <c r="L36" i="40"/>
  <c r="L57" i="40"/>
  <c r="L60" i="40"/>
  <c r="L67" i="40"/>
  <c r="F74" i="40"/>
  <c r="L27" i="40"/>
  <c r="L68" i="40"/>
  <c r="G74" i="40"/>
  <c r="L72" i="40"/>
  <c r="L20" i="40"/>
  <c r="L18" i="40"/>
  <c r="M56" i="40"/>
  <c r="L12" i="40"/>
  <c r="L31" i="40"/>
  <c r="L44" i="40"/>
  <c r="H74" i="40"/>
  <c r="L25" i="40"/>
  <c r="K38" i="40"/>
  <c r="I38" i="40"/>
  <c r="L50" i="40"/>
  <c r="K47" i="40"/>
  <c r="J74" i="40"/>
  <c r="M22" i="40"/>
  <c r="M47" i="40"/>
  <c r="I47" i="40"/>
  <c r="I56" i="40"/>
  <c r="M38" i="40"/>
  <c r="M8" i="40"/>
  <c r="I22" i="40"/>
  <c r="I15" i="40"/>
  <c r="M30" i="40"/>
  <c r="L52" i="40"/>
  <c r="L59" i="40"/>
  <c r="I65" i="40"/>
  <c r="K56" i="40"/>
  <c r="K8" i="40"/>
  <c r="K22" i="40"/>
  <c r="K15" i="40"/>
  <c r="I30" i="40"/>
  <c r="K65" i="40"/>
  <c r="I8" i="40"/>
  <c r="M65" i="40"/>
  <c r="M15" i="40"/>
  <c r="L26" i="40"/>
  <c r="K30" i="40"/>
  <c r="L23" i="40"/>
  <c r="L32" i="40"/>
  <c r="L41" i="40"/>
  <c r="L51" i="40"/>
  <c r="L10" i="40"/>
  <c r="L19" i="40"/>
  <c r="L61" i="40"/>
  <c r="L66" i="40"/>
  <c r="Z73" i="40" l="1"/>
  <c r="AA73" i="40"/>
  <c r="Y73" i="40"/>
  <c r="X73" i="40"/>
  <c r="Z71" i="40"/>
  <c r="AA71" i="40"/>
  <c r="Y71" i="40"/>
  <c r="X71" i="40"/>
  <c r="Z70" i="40"/>
  <c r="AA70" i="40"/>
  <c r="Y70" i="40"/>
  <c r="X70" i="40"/>
  <c r="Z64" i="40"/>
  <c r="AA64" i="40"/>
  <c r="Y64" i="40"/>
  <c r="X64" i="40"/>
  <c r="Z63" i="40"/>
  <c r="AA63" i="40"/>
  <c r="Y63" i="40"/>
  <c r="X63" i="40"/>
  <c r="Z49" i="40"/>
  <c r="AA49" i="40"/>
  <c r="Y49" i="40"/>
  <c r="X49" i="40"/>
  <c r="Z42" i="40"/>
  <c r="AA42" i="40"/>
  <c r="Y42" i="40"/>
  <c r="X42" i="40"/>
  <c r="Z34" i="40"/>
  <c r="AA34" i="40"/>
  <c r="Y34" i="40"/>
  <c r="X34" i="40"/>
  <c r="Z29" i="40"/>
  <c r="AA29" i="40"/>
  <c r="Y29" i="40"/>
  <c r="X29" i="40"/>
  <c r="Z17" i="40"/>
  <c r="AA17" i="40"/>
  <c r="Y17" i="40"/>
  <c r="X17" i="40"/>
  <c r="Z16" i="40"/>
  <c r="AA16" i="40"/>
  <c r="Y16" i="40"/>
  <c r="X16" i="40"/>
  <c r="W8" i="40"/>
  <c r="Z9" i="40"/>
  <c r="Z8" i="40" s="1"/>
  <c r="AA9" i="40"/>
  <c r="AA8" i="40" s="1"/>
  <c r="Y9" i="40"/>
  <c r="Y8" i="40" s="1"/>
  <c r="X9" i="40"/>
  <c r="X8" i="40" s="1"/>
  <c r="L65" i="40"/>
  <c r="L30" i="40"/>
  <c r="L15" i="40"/>
  <c r="L22" i="40"/>
  <c r="L38" i="40"/>
  <c r="L8" i="40"/>
  <c r="L47" i="40"/>
  <c r="M74" i="40"/>
  <c r="K74" i="40"/>
  <c r="I74" i="40"/>
  <c r="L56" i="40"/>
  <c r="L74" i="40" l="1"/>
  <c r="A60" i="35"/>
  <c r="T60" i="35"/>
  <c r="U60" i="35"/>
  <c r="V60" i="35"/>
  <c r="W60" i="35"/>
  <c r="X60" i="35"/>
  <c r="X2" i="35"/>
  <c r="X3" i="35"/>
  <c r="X4" i="35"/>
  <c r="X5" i="35"/>
  <c r="X6" i="35"/>
  <c r="X7" i="35"/>
  <c r="X8" i="35"/>
  <c r="X9" i="35"/>
  <c r="X10" i="35"/>
  <c r="X11" i="35"/>
  <c r="X12" i="35"/>
  <c r="X13" i="35"/>
  <c r="X14" i="35"/>
  <c r="X15" i="35"/>
  <c r="X16" i="35"/>
  <c r="X17" i="35"/>
  <c r="X18" i="35"/>
  <c r="X19" i="35"/>
  <c r="X20" i="35"/>
  <c r="X21" i="35"/>
  <c r="X22" i="35"/>
  <c r="X23" i="35"/>
  <c r="X24" i="35"/>
  <c r="X25" i="35"/>
  <c r="X26" i="35"/>
  <c r="X27" i="35"/>
  <c r="X28" i="35"/>
  <c r="X29" i="35"/>
  <c r="X30" i="35"/>
  <c r="X31" i="35"/>
  <c r="X32" i="35"/>
  <c r="X33" i="35"/>
  <c r="X34" i="35"/>
  <c r="X35" i="35"/>
  <c r="X36" i="35"/>
  <c r="X37" i="35"/>
  <c r="X38" i="35"/>
  <c r="X39" i="35"/>
  <c r="X40" i="35"/>
  <c r="X41" i="35"/>
  <c r="X42" i="35"/>
  <c r="X43" i="35"/>
  <c r="X44" i="35"/>
  <c r="X45" i="35"/>
  <c r="X46" i="35"/>
  <c r="X47" i="35"/>
  <c r="X48" i="35"/>
  <c r="X49" i="35"/>
  <c r="X50" i="35"/>
  <c r="X51" i="35"/>
  <c r="X52" i="35"/>
  <c r="X53" i="35"/>
  <c r="X54" i="35"/>
  <c r="X55" i="35"/>
  <c r="X56" i="35"/>
  <c r="X57" i="35"/>
  <c r="X58" i="35"/>
  <c r="X59" i="35"/>
  <c r="W2" i="35"/>
  <c r="W3" i="35"/>
  <c r="W4" i="35"/>
  <c r="W5" i="35"/>
  <c r="W6" i="35"/>
  <c r="W7" i="35"/>
  <c r="W8" i="35"/>
  <c r="W9" i="35"/>
  <c r="W10" i="35"/>
  <c r="W11" i="35"/>
  <c r="W12" i="35"/>
  <c r="W13" i="35"/>
  <c r="W14" i="35"/>
  <c r="W15" i="35"/>
  <c r="W16" i="35"/>
  <c r="W17" i="35"/>
  <c r="W18" i="35"/>
  <c r="W19" i="35"/>
  <c r="W20" i="35"/>
  <c r="W21" i="35"/>
  <c r="W22" i="35"/>
  <c r="W23" i="35"/>
  <c r="W24" i="35"/>
  <c r="W25" i="35"/>
  <c r="W26" i="35"/>
  <c r="W27" i="35"/>
  <c r="W28" i="35"/>
  <c r="W29" i="35"/>
  <c r="W30" i="35"/>
  <c r="W31" i="35"/>
  <c r="W32" i="35"/>
  <c r="W33" i="35"/>
  <c r="W34" i="35"/>
  <c r="W35" i="35"/>
  <c r="W36" i="35"/>
  <c r="W37" i="35"/>
  <c r="W38" i="35"/>
  <c r="W39" i="35"/>
  <c r="W40" i="35"/>
  <c r="W41" i="35"/>
  <c r="W42" i="35"/>
  <c r="W43" i="35"/>
  <c r="W44" i="35"/>
  <c r="W45" i="35"/>
  <c r="W46" i="35"/>
  <c r="W47" i="35"/>
  <c r="W48" i="35"/>
  <c r="W49" i="35"/>
  <c r="W50" i="35"/>
  <c r="W51" i="35"/>
  <c r="W52" i="35"/>
  <c r="W53" i="35"/>
  <c r="W54" i="35"/>
  <c r="W55" i="35"/>
  <c r="W56" i="35"/>
  <c r="W57" i="35"/>
  <c r="W58" i="35"/>
  <c r="W59" i="35"/>
  <c r="V2" i="35"/>
  <c r="V3" i="35"/>
  <c r="V4" i="35"/>
  <c r="V5" i="35"/>
  <c r="V6" i="35"/>
  <c r="V7" i="35"/>
  <c r="V8" i="35"/>
  <c r="V9" i="35"/>
  <c r="V10" i="35"/>
  <c r="V11" i="35"/>
  <c r="V12" i="35"/>
  <c r="V13" i="35"/>
  <c r="V14" i="35"/>
  <c r="V15" i="35"/>
  <c r="V16" i="35"/>
  <c r="V17" i="35"/>
  <c r="V18" i="35"/>
  <c r="V19" i="35"/>
  <c r="V20" i="35"/>
  <c r="V21" i="35"/>
  <c r="V22" i="35"/>
  <c r="V23" i="35"/>
  <c r="V24" i="35"/>
  <c r="V25" i="35"/>
  <c r="V26" i="35"/>
  <c r="V27" i="35"/>
  <c r="V28" i="35"/>
  <c r="V29" i="35"/>
  <c r="V30" i="35"/>
  <c r="V31" i="35"/>
  <c r="V32" i="35"/>
  <c r="V33" i="35"/>
  <c r="V34" i="35"/>
  <c r="V35" i="35"/>
  <c r="V36" i="35"/>
  <c r="V37" i="35"/>
  <c r="V38" i="35"/>
  <c r="V39" i="35"/>
  <c r="V40" i="35"/>
  <c r="V41" i="35"/>
  <c r="V42" i="35"/>
  <c r="V43" i="35"/>
  <c r="V44" i="35"/>
  <c r="V45" i="35"/>
  <c r="V46" i="35"/>
  <c r="V47" i="35"/>
  <c r="V48" i="35"/>
  <c r="V49" i="35"/>
  <c r="V50" i="35"/>
  <c r="V51" i="35"/>
  <c r="V52" i="35"/>
  <c r="V53" i="35"/>
  <c r="V54" i="35"/>
  <c r="V55" i="35"/>
  <c r="V56" i="35"/>
  <c r="V57" i="35"/>
  <c r="V58" i="35"/>
  <c r="V59" i="35"/>
  <c r="U2" i="35"/>
  <c r="U3" i="35"/>
  <c r="U4" i="35"/>
  <c r="U5" i="35"/>
  <c r="U6" i="35"/>
  <c r="U7" i="35"/>
  <c r="U8" i="35"/>
  <c r="U9" i="35"/>
  <c r="U10" i="35"/>
  <c r="U11" i="35"/>
  <c r="U12" i="35"/>
  <c r="U13" i="35"/>
  <c r="U14" i="35"/>
  <c r="U15" i="35"/>
  <c r="U16" i="35"/>
  <c r="U17" i="35"/>
  <c r="U18" i="35"/>
  <c r="U19" i="35"/>
  <c r="U20" i="35"/>
  <c r="U21" i="35"/>
  <c r="U22" i="35"/>
  <c r="U23" i="35"/>
  <c r="U24" i="35"/>
  <c r="U25" i="35"/>
  <c r="U26" i="35"/>
  <c r="U27" i="35"/>
  <c r="U28" i="35"/>
  <c r="U29" i="35"/>
  <c r="U30" i="35"/>
  <c r="U31" i="35"/>
  <c r="U32" i="35"/>
  <c r="U33" i="35"/>
  <c r="U34" i="35"/>
  <c r="U35" i="35"/>
  <c r="U36" i="35"/>
  <c r="U37" i="35"/>
  <c r="U38" i="35"/>
  <c r="U39" i="35"/>
  <c r="U40" i="35"/>
  <c r="U41" i="35"/>
  <c r="U42" i="35"/>
  <c r="U43" i="35"/>
  <c r="U44" i="35"/>
  <c r="U45" i="35"/>
  <c r="U46" i="35"/>
  <c r="U47" i="35"/>
  <c r="U48" i="35"/>
  <c r="U49" i="35"/>
  <c r="U50" i="35"/>
  <c r="U51" i="35"/>
  <c r="U52" i="35"/>
  <c r="U53" i="35"/>
  <c r="U54" i="35"/>
  <c r="U55" i="35"/>
  <c r="U56" i="35"/>
  <c r="U57" i="35"/>
  <c r="U58" i="35"/>
  <c r="U59" i="35"/>
  <c r="T2" i="35"/>
  <c r="T3" i="35"/>
  <c r="T4" i="35"/>
  <c r="T5" i="35"/>
  <c r="T6" i="35"/>
  <c r="T7" i="35"/>
  <c r="T8" i="35"/>
  <c r="T9" i="35"/>
  <c r="T10" i="35"/>
  <c r="T11" i="35"/>
  <c r="T12" i="35"/>
  <c r="T13" i="35"/>
  <c r="T14" i="35"/>
  <c r="T15" i="35"/>
  <c r="T16" i="35"/>
  <c r="T17" i="35"/>
  <c r="T18" i="35"/>
  <c r="T19" i="35"/>
  <c r="T20" i="35"/>
  <c r="T21" i="35"/>
  <c r="T22" i="35"/>
  <c r="T23" i="35"/>
  <c r="T24" i="35"/>
  <c r="T25" i="35"/>
  <c r="T26" i="35"/>
  <c r="T27" i="35"/>
  <c r="T28" i="35"/>
  <c r="T29" i="35"/>
  <c r="T30" i="35"/>
  <c r="T31" i="35"/>
  <c r="T32" i="35"/>
  <c r="T33" i="35"/>
  <c r="T34" i="35"/>
  <c r="T35" i="35"/>
  <c r="T36" i="35"/>
  <c r="T37" i="35"/>
  <c r="T38" i="35"/>
  <c r="T39" i="35"/>
  <c r="T40" i="35"/>
  <c r="T41" i="35"/>
  <c r="T42" i="35"/>
  <c r="T43" i="35"/>
  <c r="T44" i="35"/>
  <c r="T45" i="35"/>
  <c r="T46" i="35"/>
  <c r="T47" i="35"/>
  <c r="T48" i="35"/>
  <c r="T49" i="35"/>
  <c r="T50" i="35"/>
  <c r="T51" i="35"/>
  <c r="T52" i="35"/>
  <c r="T53" i="35"/>
  <c r="T54" i="35"/>
  <c r="T55" i="35"/>
  <c r="T56" i="35"/>
  <c r="T57" i="35"/>
  <c r="T58" i="35"/>
  <c r="T59" i="35"/>
  <c r="J60" i="35"/>
  <c r="I60" i="35"/>
  <c r="H60" i="35"/>
  <c r="G60" i="35"/>
  <c r="F60" i="35"/>
  <c r="E60" i="35"/>
  <c r="D60" i="35"/>
  <c r="C60" i="35"/>
  <c r="B60" i="35"/>
  <c r="L60" i="35"/>
  <c r="M60" i="35"/>
  <c r="N60" i="35"/>
  <c r="P60" i="35"/>
  <c r="O27" i="35"/>
  <c r="O59" i="35"/>
  <c r="R59" i="35" s="1"/>
  <c r="S58" i="35"/>
  <c r="Q58" i="35"/>
  <c r="O58" i="35"/>
  <c r="S57" i="35"/>
  <c r="Q57" i="35"/>
  <c r="O57" i="35"/>
  <c r="S56" i="35"/>
  <c r="Q56" i="35"/>
  <c r="O56" i="35"/>
  <c r="S55" i="35"/>
  <c r="Q55" i="35"/>
  <c r="O55" i="35"/>
  <c r="S54" i="35"/>
  <c r="Q54" i="35"/>
  <c r="O54" i="35"/>
  <c r="S53" i="35"/>
  <c r="Q53" i="35"/>
  <c r="O53" i="35"/>
  <c r="S52" i="35"/>
  <c r="Q52" i="35"/>
  <c r="O52" i="35"/>
  <c r="O51" i="35"/>
  <c r="R51" i="35" s="1"/>
  <c r="S50" i="35"/>
  <c r="Q50" i="35"/>
  <c r="O50" i="35"/>
  <c r="S49" i="35"/>
  <c r="Q49" i="35"/>
  <c r="O49" i="35"/>
  <c r="S48" i="35"/>
  <c r="Q48" i="35"/>
  <c r="O48" i="35"/>
  <c r="S47" i="35"/>
  <c r="Q47" i="35"/>
  <c r="O47" i="35"/>
  <c r="S46" i="35"/>
  <c r="Q46" i="35"/>
  <c r="O46" i="35"/>
  <c r="S45" i="35"/>
  <c r="Q45" i="35"/>
  <c r="O45" i="35"/>
  <c r="S44" i="35"/>
  <c r="Q44" i="35"/>
  <c r="O44" i="35"/>
  <c r="S42" i="35"/>
  <c r="Q42" i="35"/>
  <c r="O42" i="35"/>
  <c r="S41" i="35"/>
  <c r="Q41" i="35"/>
  <c r="O41" i="35"/>
  <c r="S40" i="35"/>
  <c r="Q40" i="35"/>
  <c r="O40" i="35"/>
  <c r="S39" i="35"/>
  <c r="Q39" i="35"/>
  <c r="O39" i="35"/>
  <c r="S38" i="35"/>
  <c r="Q38" i="35"/>
  <c r="O38" i="35"/>
  <c r="S37" i="35"/>
  <c r="Q37" i="35"/>
  <c r="O37" i="35"/>
  <c r="S36" i="35"/>
  <c r="Q36" i="35"/>
  <c r="O36" i="35"/>
  <c r="S34" i="35"/>
  <c r="Q34" i="35"/>
  <c r="O34" i="35"/>
  <c r="S33" i="35"/>
  <c r="Q33" i="35"/>
  <c r="O33" i="35"/>
  <c r="S32" i="35"/>
  <c r="Q32" i="35"/>
  <c r="O32" i="35"/>
  <c r="S31" i="35"/>
  <c r="Q31" i="35"/>
  <c r="O31" i="35"/>
  <c r="S30" i="35"/>
  <c r="Q30" i="35"/>
  <c r="O30" i="35"/>
  <c r="S29" i="35"/>
  <c r="Q29" i="35"/>
  <c r="O29" i="35"/>
  <c r="S28" i="35"/>
  <c r="Q28" i="35"/>
  <c r="O28" i="35"/>
  <c r="S27" i="35"/>
  <c r="Q27" i="35"/>
  <c r="S26" i="35"/>
  <c r="Q26" i="35"/>
  <c r="O26" i="35"/>
  <c r="S25" i="35"/>
  <c r="Q25" i="35"/>
  <c r="O25" i="35"/>
  <c r="S24" i="35"/>
  <c r="Q24" i="35"/>
  <c r="O24" i="35"/>
  <c r="S23" i="35"/>
  <c r="Q23" i="35"/>
  <c r="O23" i="35"/>
  <c r="S22" i="35"/>
  <c r="Q22" i="35"/>
  <c r="O22" i="35"/>
  <c r="S21" i="35"/>
  <c r="Q21" i="35"/>
  <c r="O21" i="35"/>
  <c r="S19" i="35"/>
  <c r="Q19" i="35"/>
  <c r="O19" i="35"/>
  <c r="S17" i="35"/>
  <c r="Q17" i="35"/>
  <c r="O17" i="35"/>
  <c r="S16" i="35"/>
  <c r="Q16" i="35"/>
  <c r="O16" i="35"/>
  <c r="S20" i="35"/>
  <c r="Q20" i="35"/>
  <c r="O20" i="35"/>
  <c r="S15" i="35"/>
  <c r="Q15" i="35"/>
  <c r="O15" i="35"/>
  <c r="S14" i="35"/>
  <c r="Q14" i="35"/>
  <c r="O14" i="35"/>
  <c r="S13" i="35"/>
  <c r="Q13" i="35"/>
  <c r="O13" i="35"/>
  <c r="S12" i="35"/>
  <c r="Q12" i="35"/>
  <c r="O12" i="35"/>
  <c r="S11" i="35"/>
  <c r="Q11" i="35"/>
  <c r="O11" i="35"/>
  <c r="S10" i="35"/>
  <c r="Q10" i="35"/>
  <c r="O10" i="35"/>
  <c r="S9" i="35"/>
  <c r="Q9" i="35"/>
  <c r="O9" i="35"/>
  <c r="S8" i="35"/>
  <c r="Q8" i="35"/>
  <c r="O8" i="35"/>
  <c r="S7" i="35"/>
  <c r="Q7" i="35"/>
  <c r="O7" i="35"/>
  <c r="S6" i="35"/>
  <c r="Q6" i="35"/>
  <c r="O6" i="35"/>
  <c r="S4" i="35"/>
  <c r="Q4" i="35"/>
  <c r="O4" i="35"/>
  <c r="S3" i="35"/>
  <c r="Q3" i="35"/>
  <c r="O3" i="35"/>
  <c r="S18" i="35"/>
  <c r="Q18" i="35"/>
  <c r="O18" i="35"/>
  <c r="S5" i="35"/>
  <c r="Q5" i="35"/>
  <c r="O5" i="35"/>
  <c r="S2" i="35"/>
  <c r="Q2" i="35"/>
  <c r="O2" i="35"/>
  <c r="O60" i="35" l="1"/>
  <c r="S60" i="35"/>
  <c r="Q60" i="35"/>
  <c r="R22" i="35"/>
  <c r="R4" i="35"/>
  <c r="R17" i="35"/>
  <c r="R48" i="35"/>
  <c r="R46" i="35"/>
  <c r="R55" i="35"/>
  <c r="R57" i="35"/>
  <c r="R30" i="35"/>
  <c r="R37" i="35"/>
  <c r="R50" i="35"/>
  <c r="R8" i="35"/>
  <c r="R32" i="35"/>
  <c r="R3" i="35"/>
  <c r="R33" i="35"/>
  <c r="R56" i="35"/>
  <c r="R20" i="35"/>
  <c r="R54" i="35"/>
  <c r="R42" i="35"/>
  <c r="R41" i="35"/>
  <c r="R5" i="35"/>
  <c r="R52" i="35"/>
  <c r="R6" i="35"/>
  <c r="R12" i="35"/>
  <c r="R7" i="35"/>
  <c r="R24" i="35"/>
  <c r="R13" i="35"/>
  <c r="R25" i="35"/>
  <c r="R10" i="35"/>
  <c r="R27" i="35"/>
  <c r="R39" i="35"/>
  <c r="R58" i="35"/>
  <c r="R16" i="35"/>
  <c r="R47" i="35"/>
  <c r="R29" i="35"/>
  <c r="R2" i="35"/>
  <c r="R26" i="35"/>
  <c r="R9" i="35"/>
  <c r="R38" i="35"/>
  <c r="R21" i="35"/>
  <c r="R34" i="35"/>
  <c r="R19" i="35"/>
  <c r="R49" i="35"/>
  <c r="R31" i="35"/>
  <c r="R28" i="35"/>
  <c r="R40" i="35"/>
  <c r="R14" i="35"/>
  <c r="R44" i="35"/>
  <c r="R53" i="35"/>
  <c r="R15" i="35"/>
  <c r="R36" i="35"/>
  <c r="R18" i="35"/>
  <c r="R11" i="35"/>
  <c r="R23" i="35"/>
  <c r="R45" i="35"/>
  <c r="R60" i="35" l="1"/>
  <c r="G63" i="33" l="1"/>
  <c r="J63" i="33" s="1"/>
  <c r="G72" i="33"/>
  <c r="J72" i="33" s="1"/>
  <c r="E45" i="33" l="1"/>
  <c r="F45" i="33"/>
  <c r="H45" i="33"/>
  <c r="D45" i="33"/>
  <c r="I62" i="33"/>
  <c r="K62" i="33"/>
  <c r="G62" i="33"/>
  <c r="J62" i="33" s="1"/>
  <c r="E55" i="33"/>
  <c r="F55" i="33"/>
  <c r="H55" i="33"/>
  <c r="D55" i="33"/>
  <c r="G56" i="33"/>
  <c r="E64" i="33"/>
  <c r="F64" i="33"/>
  <c r="H64" i="33"/>
  <c r="D64" i="33"/>
  <c r="K66" i="33" l="1"/>
  <c r="K67" i="33"/>
  <c r="K68" i="33"/>
  <c r="K69" i="33"/>
  <c r="K70" i="33"/>
  <c r="K71" i="33"/>
  <c r="I66" i="33"/>
  <c r="I67" i="33"/>
  <c r="I68" i="33"/>
  <c r="I69" i="33"/>
  <c r="I70" i="33"/>
  <c r="I71" i="33"/>
  <c r="G66" i="33"/>
  <c r="G67" i="33"/>
  <c r="G68" i="33"/>
  <c r="G69" i="33"/>
  <c r="G70" i="33"/>
  <c r="G71" i="33"/>
  <c r="K47" i="33"/>
  <c r="K48" i="33"/>
  <c r="K49" i="33"/>
  <c r="K50" i="33"/>
  <c r="K51" i="33"/>
  <c r="K52" i="33"/>
  <c r="I47" i="33"/>
  <c r="I48" i="33"/>
  <c r="I49" i="33"/>
  <c r="I50" i="33"/>
  <c r="I51" i="33"/>
  <c r="I52" i="33"/>
  <c r="G47" i="33"/>
  <c r="G48" i="33"/>
  <c r="G49" i="33"/>
  <c r="G50" i="33"/>
  <c r="G51" i="33"/>
  <c r="E28" i="33"/>
  <c r="F28" i="33"/>
  <c r="H28" i="33"/>
  <c r="D28" i="33"/>
  <c r="K38" i="33"/>
  <c r="K39" i="33"/>
  <c r="K40" i="33"/>
  <c r="K41" i="33"/>
  <c r="K42" i="33"/>
  <c r="K43" i="33"/>
  <c r="G35" i="33"/>
  <c r="I35" i="33"/>
  <c r="K35" i="33"/>
  <c r="I38" i="33"/>
  <c r="I39" i="33"/>
  <c r="I40" i="33"/>
  <c r="I41" i="33"/>
  <c r="I42" i="33"/>
  <c r="I43" i="33"/>
  <c r="G38" i="33"/>
  <c r="G39" i="33"/>
  <c r="G40" i="33"/>
  <c r="G41" i="33"/>
  <c r="G42" i="33"/>
  <c r="G43" i="33"/>
  <c r="E36" i="33"/>
  <c r="F36" i="33"/>
  <c r="H36" i="33"/>
  <c r="E20" i="33"/>
  <c r="F20" i="33"/>
  <c r="H20" i="33"/>
  <c r="K22" i="33"/>
  <c r="K25" i="33"/>
  <c r="K24" i="33"/>
  <c r="K26" i="33"/>
  <c r="K27" i="33"/>
  <c r="I22" i="33"/>
  <c r="I25" i="33"/>
  <c r="I24" i="33"/>
  <c r="I26" i="33"/>
  <c r="I27" i="33"/>
  <c r="G22" i="33"/>
  <c r="G25" i="33"/>
  <c r="G24" i="33"/>
  <c r="G26" i="33"/>
  <c r="G27" i="33"/>
  <c r="E13" i="33"/>
  <c r="F13" i="33"/>
  <c r="H13" i="33"/>
  <c r="D13" i="33"/>
  <c r="K57" i="33"/>
  <c r="K58" i="33"/>
  <c r="K59" i="33"/>
  <c r="K60" i="33"/>
  <c r="K61" i="33"/>
  <c r="G8" i="33"/>
  <c r="G9" i="33"/>
  <c r="G10" i="33"/>
  <c r="G11" i="33"/>
  <c r="G23" i="33"/>
  <c r="G12" i="33"/>
  <c r="G15" i="33"/>
  <c r="G16" i="33"/>
  <c r="G17" i="33"/>
  <c r="G18" i="33"/>
  <c r="G19" i="33"/>
  <c r="I15" i="33"/>
  <c r="I16" i="33"/>
  <c r="I17" i="33"/>
  <c r="I18" i="33"/>
  <c r="I19" i="33"/>
  <c r="K15" i="33"/>
  <c r="K16" i="33"/>
  <c r="K17" i="33"/>
  <c r="K18" i="33"/>
  <c r="K19" i="33"/>
  <c r="I8" i="33"/>
  <c r="I9" i="33"/>
  <c r="I10" i="33"/>
  <c r="J10" i="33" s="1"/>
  <c r="I11" i="33"/>
  <c r="I23" i="33"/>
  <c r="I12" i="33"/>
  <c r="K8" i="33"/>
  <c r="K9" i="33"/>
  <c r="K10" i="33"/>
  <c r="K11" i="33"/>
  <c r="K23" i="33"/>
  <c r="K12" i="33"/>
  <c r="E6" i="33"/>
  <c r="F6" i="33"/>
  <c r="H6" i="33"/>
  <c r="D6" i="33"/>
  <c r="D20" i="33"/>
  <c r="J15" i="33" l="1"/>
  <c r="J9" i="33"/>
  <c r="J51" i="33"/>
  <c r="J39" i="33"/>
  <c r="J38" i="33"/>
  <c r="J48" i="33"/>
  <c r="J47" i="33"/>
  <c r="J42" i="33"/>
  <c r="J41" i="33"/>
  <c r="J69" i="33"/>
  <c r="J40" i="33"/>
  <c r="J67" i="33"/>
  <c r="J66" i="33"/>
  <c r="J68" i="33"/>
  <c r="J50" i="33"/>
  <c r="J71" i="33"/>
  <c r="J49" i="33"/>
  <c r="J70" i="33"/>
  <c r="J35" i="33"/>
  <c r="J11" i="33"/>
  <c r="J26" i="33"/>
  <c r="J24" i="33"/>
  <c r="J25" i="33"/>
  <c r="J22" i="33"/>
  <c r="J8" i="33"/>
  <c r="J23" i="33"/>
  <c r="J19" i="33"/>
  <c r="J17" i="33"/>
  <c r="J16" i="33"/>
  <c r="J12" i="33"/>
  <c r="J18" i="33"/>
  <c r="I60" i="33" l="1"/>
  <c r="G60" i="33"/>
  <c r="K65" i="33"/>
  <c r="K64" i="33" s="1"/>
  <c r="I65" i="33"/>
  <c r="I64" i="33" s="1"/>
  <c r="G65" i="33"/>
  <c r="G64" i="33" s="1"/>
  <c r="I61" i="33"/>
  <c r="G61" i="33"/>
  <c r="I59" i="33"/>
  <c r="G59" i="33"/>
  <c r="I58" i="33"/>
  <c r="G58" i="33"/>
  <c r="I57" i="33"/>
  <c r="G57" i="33"/>
  <c r="K56" i="33"/>
  <c r="K55" i="33" s="1"/>
  <c r="I56" i="33"/>
  <c r="G52" i="33"/>
  <c r="J52" i="33" s="1"/>
  <c r="K46" i="33"/>
  <c r="K45" i="33" s="1"/>
  <c r="I46" i="33"/>
  <c r="I45" i="33" s="1"/>
  <c r="G46" i="33"/>
  <c r="G45" i="33" s="1"/>
  <c r="K37" i="33"/>
  <c r="K36" i="33" s="1"/>
  <c r="I37" i="33"/>
  <c r="I36" i="33" s="1"/>
  <c r="G37" i="33"/>
  <c r="G36" i="33" s="1"/>
  <c r="K34" i="33"/>
  <c r="I34" i="33"/>
  <c r="G34" i="33"/>
  <c r="K33" i="33"/>
  <c r="I33" i="33"/>
  <c r="G33" i="33"/>
  <c r="K32" i="33"/>
  <c r="I32" i="33"/>
  <c r="G32" i="33"/>
  <c r="K31" i="33"/>
  <c r="I31" i="33"/>
  <c r="G31" i="33"/>
  <c r="K30" i="33"/>
  <c r="I30" i="33"/>
  <c r="G30" i="33"/>
  <c r="K29" i="33"/>
  <c r="I29" i="33"/>
  <c r="G29" i="33"/>
  <c r="K21" i="33"/>
  <c r="K20" i="33" s="1"/>
  <c r="I21" i="33"/>
  <c r="I20" i="33" s="1"/>
  <c r="G21" i="33"/>
  <c r="G20" i="33" s="1"/>
  <c r="K14" i="33"/>
  <c r="K13" i="33" s="1"/>
  <c r="I14" i="33"/>
  <c r="I13" i="33" s="1"/>
  <c r="G14" i="33"/>
  <c r="G13" i="33" s="1"/>
  <c r="K7" i="33"/>
  <c r="K6" i="33" s="1"/>
  <c r="I7" i="33"/>
  <c r="G7" i="33"/>
  <c r="G6" i="33" s="1"/>
  <c r="G55" i="33" l="1"/>
  <c r="I55" i="33"/>
  <c r="F73" i="33"/>
  <c r="H73" i="33"/>
  <c r="E73" i="33"/>
  <c r="I28" i="33"/>
  <c r="G28" i="33"/>
  <c r="K28" i="33"/>
  <c r="I6" i="33"/>
  <c r="J60" i="33"/>
  <c r="J27" i="33"/>
  <c r="J59" i="33"/>
  <c r="J58" i="33"/>
  <c r="J65" i="33"/>
  <c r="J64" i="33" s="1"/>
  <c r="J57" i="33"/>
  <c r="J61" i="33"/>
  <c r="J56" i="33"/>
  <c r="J46" i="33"/>
  <c r="J45" i="33" s="1"/>
  <c r="J37" i="33"/>
  <c r="J43" i="33"/>
  <c r="J31" i="33"/>
  <c r="J14" i="33"/>
  <c r="J13" i="33" s="1"/>
  <c r="J29" i="33"/>
  <c r="J33" i="33"/>
  <c r="J32" i="33"/>
  <c r="J34" i="33"/>
  <c r="J30" i="33"/>
  <c r="J21" i="33"/>
  <c r="J7" i="33"/>
  <c r="J55" i="33" l="1"/>
  <c r="I73" i="33"/>
  <c r="G73" i="33"/>
  <c r="K73" i="33"/>
  <c r="J28" i="33"/>
  <c r="J36" i="33"/>
  <c r="J20" i="33"/>
  <c r="J6" i="33"/>
  <c r="D36" i="33"/>
  <c r="D73" i="33" l="1"/>
  <c r="J73" i="33"/>
</calcChain>
</file>

<file path=xl/sharedStrings.xml><?xml version="1.0" encoding="utf-8"?>
<sst xmlns="http://schemas.openxmlformats.org/spreadsheetml/2006/main" count="1056" uniqueCount="280">
  <si>
    <t>INGENIERÍA INFORMÁTICA (aprobado CU MM/DD/AAAA)</t>
  </si>
  <si>
    <r>
      <t>Régimen:</t>
    </r>
    <r>
      <rPr>
        <b/>
        <sz val="18"/>
        <color theme="7"/>
        <rFont val="Calibri"/>
        <family val="2"/>
        <scheme val="minor"/>
      </rPr>
      <t>_</t>
    </r>
  </si>
  <si>
    <t>Semestral</t>
  </si>
  <si>
    <r>
      <t>Sede:</t>
    </r>
    <r>
      <rPr>
        <b/>
        <sz val="18"/>
        <color theme="7"/>
        <rFont val="Calibri"/>
        <family val="2"/>
        <scheme val="minor"/>
      </rPr>
      <t>_</t>
    </r>
  </si>
  <si>
    <t>UCAB Montalbán, UCAB Guayana</t>
  </si>
  <si>
    <t>Indicar Sede(s)</t>
  </si>
  <si>
    <t>Cód Materia</t>
  </si>
  <si>
    <t>N° de Curso</t>
  </si>
  <si>
    <t>Asignatura</t>
  </si>
  <si>
    <t>HAD </t>
  </si>
  <si>
    <t>Total HAD</t>
  </si>
  <si>
    <t>Pr</t>
  </si>
  <si>
    <t>HTI</t>
  </si>
  <si>
    <t>TH </t>
  </si>
  <si>
    <t>UC</t>
  </si>
  <si>
    <t>Eval</t>
  </si>
  <si>
    <t>Mod</t>
  </si>
  <si>
    <t>Tax</t>
  </si>
  <si>
    <t>Pre-Req. </t>
  </si>
  <si>
    <t>Mat. Inst.</t>
  </si>
  <si>
    <t>Mat. Inter.</t>
  </si>
  <si>
    <t>Mat Intra. </t>
  </si>
  <si>
    <t>Común Algunas escuelas</t>
  </si>
  <si>
    <t>HT</t>
  </si>
  <si>
    <t>HP</t>
  </si>
  <si>
    <t>HL</t>
  </si>
  <si>
    <t>PRIMER SEMESTRE</t>
  </si>
  <si>
    <t>FING</t>
  </si>
  <si>
    <t>Álgebra y Trigonometría</t>
  </si>
  <si>
    <t>Cr</t>
  </si>
  <si>
    <t>PRE</t>
  </si>
  <si>
    <t>TA-4</t>
  </si>
  <si>
    <t>Ingreso</t>
  </si>
  <si>
    <t>X</t>
  </si>
  <si>
    <t>CIV-IND-INF-TEL</t>
  </si>
  <si>
    <t>ADCO</t>
  </si>
  <si>
    <t>Principios de Marketing</t>
  </si>
  <si>
    <t>TA-1</t>
  </si>
  <si>
    <t>Lógica</t>
  </si>
  <si>
    <t>TA-4E</t>
  </si>
  <si>
    <t>Fundamentos de Programación</t>
  </si>
  <si>
    <t>C</t>
  </si>
  <si>
    <t>TA-9</t>
  </si>
  <si>
    <t>UCAB</t>
  </si>
  <si>
    <t>Competencia Textual en Español</t>
  </si>
  <si>
    <t>TA-6</t>
  </si>
  <si>
    <t>TODA LA UCAB</t>
  </si>
  <si>
    <t>Identidad, Liderazgo y Compromiso I</t>
  </si>
  <si>
    <t>SEGUNDO SEMESTRE</t>
  </si>
  <si>
    <t>Cálculo Diferencial</t>
  </si>
  <si>
    <t>Álgebra Lineal</t>
  </si>
  <si>
    <t>INFO</t>
  </si>
  <si>
    <t>Matemáticas Discretas</t>
  </si>
  <si>
    <t>Algoritmos y Programación</t>
  </si>
  <si>
    <t>Algoritmos y Estructuras de Datos</t>
  </si>
  <si>
    <t>Algoritmos y Programación (Correquisito)</t>
  </si>
  <si>
    <t>Identidad, Liderazgo y Compromiso II</t>
  </si>
  <si>
    <t>TERCER SEMESTRE</t>
  </si>
  <si>
    <t>Cálculo Integral</t>
  </si>
  <si>
    <t>Física General</t>
  </si>
  <si>
    <t>Ecología, Ambiente y Sustentabilidad</t>
  </si>
  <si>
    <t>44 UC</t>
  </si>
  <si>
    <t>Programación Orientada a Objetos</t>
  </si>
  <si>
    <t>Algoritmos y Estructura de Datos</t>
  </si>
  <si>
    <t>FACE</t>
  </si>
  <si>
    <t>Contabilidad Financiera</t>
  </si>
  <si>
    <t>TA-3</t>
  </si>
  <si>
    <t>56 UC</t>
  </si>
  <si>
    <t>IND-INF-TEL ECO-ADM</t>
  </si>
  <si>
    <t>Sistemas de Información</t>
  </si>
  <si>
    <t>C*</t>
  </si>
  <si>
    <t>Innovación y Emprendimiento</t>
  </si>
  <si>
    <t>VIT</t>
  </si>
  <si>
    <t>CUARTO SEMESTRE</t>
  </si>
  <si>
    <t>Cálculo Vectorial</t>
  </si>
  <si>
    <t>INF-TEL</t>
  </si>
  <si>
    <t>Ecuaciones Diferenciales Ordinarias</t>
  </si>
  <si>
    <t>CIV-INF-TEL</t>
  </si>
  <si>
    <t>Ingeniería Económica</t>
  </si>
  <si>
    <t>PRE*</t>
  </si>
  <si>
    <t>IND-INF-TEL</t>
  </si>
  <si>
    <t>Organización del Computador</t>
  </si>
  <si>
    <t>Programación Orientada a la Web</t>
  </si>
  <si>
    <t>Ingeniería de Software</t>
  </si>
  <si>
    <t>Interacción Humano-Computador</t>
  </si>
  <si>
    <t>Ingeniería de Software (Correquisito)</t>
  </si>
  <si>
    <t>QUINTO SEMESTRE</t>
  </si>
  <si>
    <t>Electricidad y Magnetismo</t>
  </si>
  <si>
    <t>CIV-INF</t>
  </si>
  <si>
    <t>Laboratorio de Física</t>
  </si>
  <si>
    <t>Electricidad y Magnetismo (Correquisito)</t>
  </si>
  <si>
    <t>Probabilidad y Estadística</t>
  </si>
  <si>
    <t>Sistemas Operativos</t>
  </si>
  <si>
    <t>Tópicos Especiales de Programación</t>
  </si>
  <si>
    <t>Sistemas de Bases de Datos</t>
  </si>
  <si>
    <t>107 UC</t>
  </si>
  <si>
    <t>Gestión de Proyectos de Software</t>
  </si>
  <si>
    <t>Ingeniería Económica + Gestión de Proyectos de Software</t>
  </si>
  <si>
    <t>Curso Servicio Comunitario</t>
  </si>
  <si>
    <t>120 UC</t>
  </si>
  <si>
    <t>SEXTO SEMESTRE</t>
  </si>
  <si>
    <t>Métodos Numéricos</t>
  </si>
  <si>
    <t>Inglés I</t>
  </si>
  <si>
    <t>Arquitectura del Computador Aplicada</t>
  </si>
  <si>
    <t>Redes de Comunicación de Datos</t>
  </si>
  <si>
    <t>Tópicos Especiales para la Gestión de Datos</t>
  </si>
  <si>
    <t>Ingeniería de Requisitos</t>
  </si>
  <si>
    <t>Sistemas de Bases de Datos + Gestión de Proyectos de Software</t>
  </si>
  <si>
    <t>Aseguramiento de la Calidad del Software</t>
  </si>
  <si>
    <t>Curso de Trabajo de Grado</t>
  </si>
  <si>
    <t>151 UC</t>
  </si>
  <si>
    <t>Servicio Comunitario</t>
  </si>
  <si>
    <t>Curso de Servicio Comunitario</t>
  </si>
  <si>
    <t>SÉPTIMO SEMESTRE</t>
  </si>
  <si>
    <t>167 UC</t>
  </si>
  <si>
    <t>Inglés II</t>
  </si>
  <si>
    <t>Investigación de Operaciones</t>
  </si>
  <si>
    <t>SEP</t>
  </si>
  <si>
    <t>Probabilidad y Estadística + Métodos Numéricos</t>
  </si>
  <si>
    <t>Ciberseguridad</t>
  </si>
  <si>
    <t>Inteligencia de Negocios</t>
  </si>
  <si>
    <t>INF RRII-SOC</t>
  </si>
  <si>
    <t>Desarrollo de Software</t>
  </si>
  <si>
    <t>Ingeniería de Requisitos + Aseguramiento de la Calidad del Software</t>
  </si>
  <si>
    <t>**</t>
  </si>
  <si>
    <t>Electiva (Informática) I</t>
  </si>
  <si>
    <t>TA-8</t>
  </si>
  <si>
    <t>180 UC</t>
  </si>
  <si>
    <t>Pasantía</t>
  </si>
  <si>
    <t>TA-7</t>
  </si>
  <si>
    <t>OCTAVO SEMESTRE</t>
  </si>
  <si>
    <t>Ética Profesional</t>
  </si>
  <si>
    <t>TA-2</t>
  </si>
  <si>
    <t>TODA LA FACULTAD</t>
  </si>
  <si>
    <t>Inglés Técnico</t>
  </si>
  <si>
    <t>Evaluación de Sistemas Informáticos</t>
  </si>
  <si>
    <t>Computación en la Nube</t>
  </si>
  <si>
    <t>SEP*</t>
  </si>
  <si>
    <t>Arquitecturas Empresariales</t>
  </si>
  <si>
    <t>197 UC</t>
  </si>
  <si>
    <t>Electiva (Informática) II</t>
  </si>
  <si>
    <t>***</t>
  </si>
  <si>
    <t>Electiva (Complementaria)</t>
  </si>
  <si>
    <t>163 UC</t>
  </si>
  <si>
    <t>Trabajo de Grado (TG)</t>
  </si>
  <si>
    <t>Total Hras /UC</t>
  </si>
  <si>
    <r>
      <t xml:space="preserve">C*: </t>
    </r>
    <r>
      <rPr>
        <sz val="18"/>
        <color theme="1"/>
        <rFont val="Calibri"/>
        <family val="2"/>
        <scheme val="minor"/>
      </rPr>
      <t>El Consejo Universitario en fecha 10/12/2019 aprobó la supresión del examen de reparación con prescindencia de la taxonomía académica de la asignatura</t>
    </r>
  </si>
  <si>
    <r>
      <rPr>
        <b/>
        <sz val="18"/>
        <color theme="1"/>
        <rFont val="Calibri"/>
        <family val="2"/>
        <scheme val="minor"/>
      </rPr>
      <t>PRE*:</t>
    </r>
    <r>
      <rPr>
        <sz val="18"/>
        <color theme="1"/>
        <rFont val="Calibri"/>
        <family val="2"/>
        <scheme val="minor"/>
      </rPr>
      <t xml:space="preserve">  Una vez concluido el proceso de virtualización de esta asignatura, solo se ofrecerá en esa modalidad (VIT)</t>
    </r>
  </si>
  <si>
    <r>
      <rPr>
        <b/>
        <sz val="18"/>
        <color theme="1"/>
        <rFont val="Calibri"/>
        <family val="2"/>
        <scheme val="minor"/>
      </rPr>
      <t xml:space="preserve">SEP*:  </t>
    </r>
    <r>
      <rPr>
        <sz val="18"/>
        <color theme="1"/>
        <rFont val="Calibri"/>
        <family val="2"/>
        <scheme val="minor"/>
      </rPr>
      <t>Una vez concluido el proceso de virtualización de esta asignatura, solo se ofrecerá en esa modalidad (VIT)</t>
    </r>
  </si>
  <si>
    <t xml:space="preserve">Leyenda: </t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</si>
  <si>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Cód. Materia:</t>
    </r>
    <r>
      <rPr>
        <sz val="18"/>
        <color theme="1"/>
        <rFont val="Calibri"/>
        <family val="2"/>
        <scheme val="minor"/>
      </rPr>
      <t xml:space="preserve"> código que identifica al catálogo de la materia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</si>
  <si>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 xml:space="preserve">Tax: </t>
    </r>
    <r>
      <rPr>
        <sz val="18"/>
        <color theme="1"/>
        <rFont val="Calibri"/>
        <family val="2"/>
        <scheme val="minor"/>
      </rPr>
      <t>Taxonomía. Posibles valores:</t>
    </r>
  </si>
  <si>
    <t>Asignaturas en línea:</t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</si>
  <si>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N° de Curso:</t>
    </r>
    <r>
      <rPr>
        <sz val="18"/>
        <color theme="1"/>
        <rFont val="Calibri"/>
        <family val="2"/>
        <scheme val="minor"/>
      </rPr>
      <t xml:space="preserve"> número que identifica la materia dentro del catálogo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</si>
  <si>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TA-1:</t>
    </r>
    <r>
      <rPr>
        <sz val="18"/>
        <color theme="1"/>
        <rFont val="Calibri"/>
        <family val="2"/>
        <scheme val="minor"/>
      </rPr>
      <t xml:space="preserve">  Teórica.Teórica Expositiva.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</si>
  <si>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AL-1:</t>
    </r>
    <r>
      <rPr>
        <sz val="18"/>
        <color theme="1"/>
        <rFont val="Calibri"/>
        <family val="2"/>
        <scheme val="minor"/>
      </rPr>
      <t xml:space="preserve">  De corte autónomo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</si>
  <si>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> </t>
    </r>
    <r>
      <rPr>
        <b/>
        <u/>
        <sz val="18"/>
        <color theme="1"/>
        <rFont val="Calibri"/>
        <family val="2"/>
        <scheme val="minor"/>
      </rPr>
      <t>Rango</t>
    </r>
    <r>
      <rPr>
        <sz val="18"/>
        <color theme="1"/>
        <rFont val="Calibri"/>
        <family val="2"/>
        <scheme val="minor"/>
      </rPr>
      <t>: Los códigos se encuentran entre los números 80001 y 99999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</si>
  <si>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TA-2:</t>
    </r>
    <r>
      <rPr>
        <sz val="18"/>
        <color theme="1"/>
        <rFont val="Calibri"/>
        <family val="2"/>
        <scheme val="minor"/>
      </rPr>
      <t xml:space="preserve"> Teórica. Seminario teórico.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</si>
  <si>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AL-2:</t>
    </r>
    <r>
      <rPr>
        <sz val="18"/>
        <color theme="1"/>
        <rFont val="Calibri"/>
        <family val="2"/>
        <scheme val="minor"/>
      </rPr>
      <t xml:space="preserve"> Tutoría en grupo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</si>
  <si>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> </t>
    </r>
    <r>
      <rPr>
        <b/>
        <u/>
        <sz val="18"/>
        <color theme="1"/>
        <rFont val="Calibri"/>
        <family val="2"/>
        <scheme val="minor"/>
      </rPr>
      <t>HAD:</t>
    </r>
    <r>
      <rPr>
        <sz val="18"/>
        <color theme="1"/>
        <rFont val="Calibri"/>
        <family val="2"/>
        <scheme val="minor"/>
      </rPr>
      <t xml:space="preserve"> Horas de Acompañamiento Docente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</si>
  <si>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TA-3:</t>
    </r>
    <r>
      <rPr>
        <sz val="18"/>
        <color theme="1"/>
        <rFont val="Calibri"/>
        <family val="2"/>
        <scheme val="minor"/>
      </rPr>
      <t xml:space="preserve"> Operativa. Expositiva.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</si>
  <si>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AL-3</t>
    </r>
    <r>
      <rPr>
        <sz val="18"/>
        <color theme="1"/>
        <rFont val="Calibri"/>
        <family val="2"/>
        <scheme val="minor"/>
      </rPr>
      <t>: Tutoría individualizada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</si>
  <si>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> </t>
    </r>
    <r>
      <rPr>
        <b/>
        <u/>
        <sz val="18"/>
        <color theme="1"/>
        <rFont val="Calibri"/>
        <family val="2"/>
        <scheme val="minor"/>
      </rPr>
      <t>HT:</t>
    </r>
    <r>
      <rPr>
        <sz val="18"/>
        <color theme="1"/>
        <rFont val="Calibri"/>
        <family val="2"/>
        <scheme val="minor"/>
      </rPr>
      <t xml:space="preserve"> Horas Teóricas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</si>
  <si>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TA-4:</t>
    </r>
    <r>
      <rPr>
        <sz val="18"/>
        <color theme="1"/>
        <rFont val="Calibri"/>
        <family val="2"/>
        <scheme val="minor"/>
      </rPr>
      <t xml:space="preserve"> Operativa. Ejercitación.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</si>
  <si>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> </t>
    </r>
    <r>
      <rPr>
        <b/>
        <u/>
        <sz val="18"/>
        <color theme="1"/>
        <rFont val="Calibri"/>
        <family val="2"/>
        <scheme val="minor"/>
      </rPr>
      <t>HP:</t>
    </r>
    <r>
      <rPr>
        <sz val="18"/>
        <color theme="1"/>
        <rFont val="Calibri"/>
        <family val="2"/>
        <scheme val="minor"/>
      </rPr>
      <t xml:space="preserve"> Horas Prácticas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</si>
  <si>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TA-5:</t>
    </r>
    <r>
      <rPr>
        <sz val="18"/>
        <color theme="1"/>
        <rFont val="Calibri"/>
        <family val="2"/>
        <scheme val="minor"/>
      </rPr>
      <t xml:space="preserve"> Instrumental. Expositiva.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</si>
  <si>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> </t>
    </r>
    <r>
      <rPr>
        <b/>
        <u/>
        <sz val="18"/>
        <color theme="1"/>
        <rFont val="Calibri"/>
        <family val="2"/>
        <scheme val="minor"/>
      </rPr>
      <t>HL:</t>
    </r>
    <r>
      <rPr>
        <sz val="18"/>
        <color theme="1"/>
        <rFont val="Calibri"/>
        <family val="2"/>
        <scheme val="minor"/>
      </rPr>
      <t xml:space="preserve"> Horas de Laboratorio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</si>
  <si>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TA-6:</t>
    </r>
    <r>
      <rPr>
        <sz val="18"/>
        <color theme="1"/>
        <rFont val="Calibri"/>
        <family val="2"/>
        <scheme val="minor"/>
      </rPr>
      <t xml:space="preserve"> Instrumental. Ejercitación.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</si>
  <si>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> </t>
    </r>
    <r>
      <rPr>
        <b/>
        <u/>
        <sz val="18"/>
        <color theme="1"/>
        <rFont val="Calibri"/>
        <family val="2"/>
        <scheme val="minor"/>
      </rPr>
      <t>Pr:</t>
    </r>
    <r>
      <rPr>
        <sz val="18"/>
        <color theme="1"/>
        <rFont val="Calibri"/>
        <family val="2"/>
        <scheme val="minor"/>
      </rPr>
      <t xml:space="preserve"> Horas de Preparaduría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</si>
  <si>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TA-7:</t>
    </r>
    <r>
      <rPr>
        <sz val="18"/>
        <color theme="1"/>
        <rFont val="Calibri"/>
        <family val="2"/>
        <scheme val="minor"/>
      </rPr>
      <t xml:space="preserve"> Práctica. Externa.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</si>
  <si>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HTI</t>
    </r>
    <r>
      <rPr>
        <sz val="18"/>
        <color theme="1"/>
        <rFont val="Calibri"/>
        <family val="2"/>
        <scheme val="minor"/>
      </rPr>
      <t>: Horas de Trabajo Independiente del Estudiante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</si>
  <si>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TA-8:</t>
    </r>
    <r>
      <rPr>
        <sz val="18"/>
        <color theme="1"/>
        <rFont val="Calibri"/>
        <family val="2"/>
        <scheme val="minor"/>
      </rPr>
      <t xml:space="preserve"> Práctica. Curso - Taller.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</si>
  <si>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TH</t>
    </r>
    <r>
      <rPr>
        <sz val="18"/>
        <color theme="1"/>
        <rFont val="Calibri"/>
        <family val="2"/>
        <scheme val="minor"/>
      </rPr>
      <t>: Total de Horas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</si>
  <si>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TA-9:</t>
    </r>
    <r>
      <rPr>
        <sz val="18"/>
        <color theme="1"/>
        <rFont val="Calibri"/>
        <family val="2"/>
        <scheme val="minor"/>
      </rPr>
      <t xml:space="preserve"> Práctica. Laboratorio o Sala Especial; Seminarios o Tutorías.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</si>
  <si>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UC:</t>
    </r>
    <r>
      <rPr>
        <sz val="18"/>
        <color theme="1"/>
        <rFont val="Calibri"/>
        <family val="2"/>
        <scheme val="minor"/>
      </rPr>
      <t xml:space="preserve"> Unidades Crédito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</si>
  <si>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Pre-Req.:</t>
    </r>
    <r>
      <rPr>
        <sz val="18"/>
        <color theme="1"/>
        <rFont val="Calibri"/>
        <family val="2"/>
        <scheme val="minor"/>
      </rPr>
      <t xml:space="preserve"> Incorporar la(s) asignatura(s) que son prerrequisitos para poder cursar la materia en cuestión. 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</si>
  <si>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> </t>
    </r>
    <r>
      <rPr>
        <b/>
        <u/>
        <sz val="18"/>
        <color theme="1"/>
        <rFont val="Calibri"/>
        <family val="2"/>
        <scheme val="minor"/>
      </rPr>
      <t>Eval:</t>
    </r>
    <r>
      <rPr>
        <sz val="18"/>
        <color theme="1"/>
        <rFont val="Calibri"/>
        <family val="2"/>
        <scheme val="minor"/>
      </rPr>
      <t xml:space="preserve"> Tipo de Evaluación. Posibles valores: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</si>
  <si>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Materias Institucionales:</t>
    </r>
    <r>
      <rPr>
        <b/>
        <sz val="18"/>
        <color theme="1"/>
        <rFont val="Calibri"/>
        <family val="2"/>
        <scheme val="minor"/>
      </rPr>
      <t xml:space="preserve"> </t>
    </r>
    <r>
      <rPr>
        <sz val="18"/>
        <color theme="1"/>
        <rFont val="Calibri"/>
        <family val="2"/>
        <scheme val="minor"/>
      </rPr>
      <t>se marcan las asignaturas que son transversales a todos los planes de estudios de la UCAB.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</si>
  <si>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C:</t>
    </r>
    <r>
      <rPr>
        <sz val="18"/>
        <color theme="1"/>
        <rFont val="Calibri"/>
        <family val="2"/>
        <scheme val="minor"/>
      </rPr>
      <t xml:space="preserve"> Evaluación Continua sin reparación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</si>
  <si>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 xml:space="preserve">Materias Interfacultad: </t>
    </r>
    <r>
      <rPr>
        <sz val="18"/>
        <color theme="1"/>
        <rFont val="Calibri"/>
        <family val="2"/>
        <scheme val="minor"/>
      </rPr>
      <t>se marcan con equis las asignaturas que son consideradas comunes entre dos o más Facultades de la UCAB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</si>
  <si>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Cr:</t>
    </r>
    <r>
      <rPr>
        <sz val="18"/>
        <color theme="1"/>
        <rFont val="Calibri"/>
        <family val="2"/>
        <scheme val="minor"/>
      </rPr>
      <t xml:space="preserve"> Evaluación continua con reparación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</si>
  <si>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Materias Intrafacultad:</t>
    </r>
    <r>
      <rPr>
        <b/>
        <sz val="18"/>
        <color theme="1"/>
        <rFont val="Calibri"/>
        <family val="2"/>
        <scheme val="minor"/>
      </rPr>
      <t xml:space="preserve"> </t>
    </r>
    <r>
      <rPr>
        <sz val="18"/>
        <color theme="1"/>
        <rFont val="Calibri"/>
        <family val="2"/>
        <scheme val="minor"/>
      </rPr>
      <t>se marcan con equis las asignaturas que son consideradas comunes entre dos o más carreras de la Facultad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</si>
  <si>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Fr:</t>
    </r>
    <r>
      <rPr>
        <sz val="18"/>
        <color theme="1"/>
        <rFont val="Calibri"/>
        <family val="2"/>
        <scheme val="minor"/>
      </rPr>
      <t xml:space="preserve"> Evaluación con final y reparación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</si>
  <si>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Comunes con algunas escuelas:</t>
    </r>
    <r>
      <rPr>
        <b/>
        <sz val="18"/>
        <color theme="1"/>
        <rFont val="Calibri"/>
        <family val="2"/>
        <scheme val="minor"/>
      </rPr>
      <t xml:space="preserve"> </t>
    </r>
    <r>
      <rPr>
        <sz val="18"/>
        <color theme="1"/>
        <rFont val="Calibri"/>
        <family val="2"/>
        <scheme val="minor"/>
      </rPr>
      <t>se indican las carreras que contienen la materia</t>
    </r>
  </si>
  <si>
    <r>
      <rPr>
        <sz val="18"/>
        <color theme="1"/>
        <rFont val="Wingdings"/>
        <charset val="2"/>
      </rPr>
      <t>ü</t>
    </r>
    <r>
      <rPr>
        <sz val="18"/>
        <color theme="1"/>
        <rFont val="Calibri"/>
        <family val="2"/>
        <scheme val="minor"/>
      </rPr>
      <t xml:space="preserve"> </t>
    </r>
    <r>
      <rPr>
        <b/>
        <u/>
        <sz val="18"/>
        <color theme="1"/>
        <rFont val="Calibri"/>
        <family val="2"/>
        <scheme val="minor"/>
      </rPr>
      <t>Mod:</t>
    </r>
    <r>
      <rPr>
        <sz val="18"/>
        <color theme="1"/>
        <rFont val="Calibri"/>
        <family val="2"/>
        <scheme val="minor"/>
      </rPr>
      <t xml:space="preserve"> Modalidad. Modalidad de clases de la asignatura:                            </t>
    </r>
  </si>
  <si>
    <r>
      <rPr>
        <sz val="18"/>
        <color rgb="FF000000"/>
        <rFont val="Wingdings"/>
        <charset val="2"/>
      </rPr>
      <t>ü</t>
    </r>
    <r>
      <rPr>
        <sz val="18"/>
        <color rgb="FF000000"/>
        <rFont val="Calibri"/>
        <family val="2"/>
        <scheme val="minor"/>
      </rPr>
      <t> </t>
    </r>
    <r>
      <rPr>
        <b/>
        <u/>
        <sz val="18"/>
        <color rgb="FF000000"/>
        <rFont val="Calibri"/>
        <family val="2"/>
        <scheme val="minor"/>
      </rPr>
      <t>PRE</t>
    </r>
    <r>
      <rPr>
        <sz val="18"/>
        <color rgb="FF000000"/>
        <rFont val="Calibri"/>
        <family val="2"/>
        <scheme val="minor"/>
      </rPr>
      <t>: Presencial</t>
    </r>
  </si>
  <si>
    <r>
      <rPr>
        <sz val="18"/>
        <color rgb="FF000000"/>
        <rFont val="Wingdings"/>
        <charset val="2"/>
      </rPr>
      <t>ü</t>
    </r>
    <r>
      <rPr>
        <sz val="18"/>
        <color rgb="FF000000"/>
        <rFont val="Calibri"/>
        <family val="2"/>
        <scheme val="minor"/>
      </rPr>
      <t xml:space="preserve"> </t>
    </r>
    <r>
      <rPr>
        <b/>
        <u/>
        <sz val="18"/>
        <color rgb="FF000000"/>
        <rFont val="Calibri"/>
        <family val="2"/>
        <scheme val="minor"/>
      </rPr>
      <t>SEP</t>
    </r>
    <r>
      <rPr>
        <sz val="18"/>
        <color rgb="FF000000"/>
        <rFont val="Calibri"/>
        <family val="2"/>
        <scheme val="minor"/>
      </rPr>
      <t>: Semipresencial</t>
    </r>
  </si>
  <si>
    <r>
      <rPr>
        <sz val="18"/>
        <color rgb="FF000000"/>
        <rFont val="Wingdings"/>
        <charset val="2"/>
      </rPr>
      <t>ü</t>
    </r>
    <r>
      <rPr>
        <sz val="18"/>
        <color rgb="FF000000"/>
        <rFont val="Calibri"/>
        <family val="2"/>
        <scheme val="minor"/>
      </rPr>
      <t> </t>
    </r>
    <r>
      <rPr>
        <b/>
        <sz val="18"/>
        <color rgb="FF000000"/>
        <rFont val="Calibri"/>
        <family val="2"/>
        <scheme val="minor"/>
      </rPr>
      <t xml:space="preserve">LIN: </t>
    </r>
    <r>
      <rPr>
        <sz val="18"/>
        <color rgb="FF000000"/>
        <rFont val="Calibri"/>
        <family val="2"/>
        <scheme val="minor"/>
      </rPr>
      <t>No Presencial en Línea</t>
    </r>
  </si>
  <si>
    <r>
      <rPr>
        <sz val="18"/>
        <color rgb="FF000000"/>
        <rFont val="Wingdings"/>
        <charset val="2"/>
      </rPr>
      <t>ü</t>
    </r>
    <r>
      <rPr>
        <sz val="18"/>
        <color rgb="FF000000"/>
        <rFont val="Calibri"/>
        <family val="2"/>
        <scheme val="minor"/>
      </rPr>
      <t> </t>
    </r>
    <r>
      <rPr>
        <b/>
        <u/>
        <sz val="18"/>
        <color rgb="FF000000"/>
        <rFont val="Calibri"/>
        <family val="2"/>
        <scheme val="minor"/>
      </rPr>
      <t>VIT</t>
    </r>
    <r>
      <rPr>
        <b/>
        <sz val="18"/>
        <color rgb="FF000000"/>
        <rFont val="Calibri"/>
        <family val="2"/>
        <scheme val="minor"/>
      </rPr>
      <t xml:space="preserve">: </t>
    </r>
    <r>
      <rPr>
        <sz val="18"/>
        <color rgb="FF000000"/>
        <rFont val="Calibri"/>
        <family val="2"/>
        <scheme val="minor"/>
      </rPr>
      <t>No Presencial  Virtual</t>
    </r>
  </si>
  <si>
    <t>TA7</t>
  </si>
  <si>
    <t>TA8</t>
  </si>
  <si>
    <t>TA9</t>
  </si>
  <si>
    <t>Costo</t>
  </si>
  <si>
    <t>TRANS</t>
  </si>
  <si>
    <t>25 UC</t>
  </si>
  <si>
    <t>Inteligencia Artificial con Machine Learning</t>
  </si>
  <si>
    <r>
      <rPr>
        <sz val="18"/>
        <color rgb="FFFF0000"/>
        <rFont val="Calibri"/>
        <family val="2"/>
      </rPr>
      <t xml:space="preserve">Curso de Trabajo de Grado + </t>
    </r>
    <r>
      <rPr>
        <sz val="18"/>
        <color rgb="FF000000"/>
        <rFont val="Calibri"/>
        <family val="2"/>
      </rPr>
      <t>Desarrollo de Software</t>
    </r>
  </si>
  <si>
    <t>SEM</t>
  </si>
  <si>
    <t>EL</t>
  </si>
  <si>
    <t>PP</t>
  </si>
  <si>
    <t>FI</t>
  </si>
  <si>
    <t>MA</t>
  </si>
  <si>
    <t>CC</t>
  </si>
  <si>
    <t>IS</t>
  </si>
  <si>
    <t>TE</t>
  </si>
  <si>
    <t>FG</t>
  </si>
  <si>
    <t>IN</t>
  </si>
  <si>
    <t>HAD</t>
  </si>
  <si>
    <t>HTSEM</t>
  </si>
  <si>
    <t>HPSEM</t>
  </si>
  <si>
    <t>HLSEM</t>
  </si>
  <si>
    <t>HADSEM</t>
  </si>
  <si>
    <t>THSEM</t>
  </si>
  <si>
    <t>Probabilidades y Estadística</t>
  </si>
  <si>
    <t>(All)</t>
  </si>
  <si>
    <t>Row Labels</t>
  </si>
  <si>
    <t>Count of Asignatura</t>
  </si>
  <si>
    <t>Sum of HT</t>
  </si>
  <si>
    <t>Sum of HP</t>
  </si>
  <si>
    <t>Sum of HL</t>
  </si>
  <si>
    <t>Sum of HAD</t>
  </si>
  <si>
    <t>Sum of HTI</t>
  </si>
  <si>
    <t>Sum of TH </t>
  </si>
  <si>
    <t>Sum of HTSEM</t>
  </si>
  <si>
    <t>Sum of HPSEM</t>
  </si>
  <si>
    <t>Sum of HLSEM</t>
  </si>
  <si>
    <t>Sum of HADSEM</t>
  </si>
  <si>
    <t>Sum of THSEM</t>
  </si>
  <si>
    <t>Sum of UC</t>
  </si>
  <si>
    <t>Grand Total</t>
  </si>
  <si>
    <r>
      <t xml:space="preserve">IND-INF ADM </t>
    </r>
    <r>
      <rPr>
        <sz val="18"/>
        <color rgb="FFFF0000"/>
        <rFont val="Calibri"/>
        <family val="2"/>
        <scheme val="minor"/>
      </rPr>
      <t>COM</t>
    </r>
  </si>
  <si>
    <r>
      <t xml:space="preserve">CIV-IND-INF-TEL </t>
    </r>
    <r>
      <rPr>
        <sz val="18"/>
        <color rgb="FFFF0000"/>
        <rFont val="Calibri"/>
        <family val="2"/>
        <scheme val="minor"/>
      </rPr>
      <t>ADM</t>
    </r>
  </si>
  <si>
    <r>
      <t xml:space="preserve">CIV-IND-INF RRII-SOC </t>
    </r>
    <r>
      <rPr>
        <sz val="18"/>
        <color rgb="FFFF0000"/>
        <rFont val="Calibri"/>
        <family val="2"/>
        <scheme val="minor"/>
      </rPr>
      <t>ADM</t>
    </r>
  </si>
  <si>
    <t>Inteligencia Artificial: Aprendizaje Automático</t>
  </si>
  <si>
    <r>
      <rPr>
        <sz val="18"/>
        <color rgb="FFFF0000"/>
        <rFont val="Calibri"/>
        <family val="2"/>
        <scheme val="minor"/>
      </rPr>
      <t>Curso de Trabajo de Grado +</t>
    </r>
    <r>
      <rPr>
        <sz val="18"/>
        <color theme="1"/>
        <rFont val="Calibri"/>
        <family val="2"/>
        <scheme val="minor"/>
      </rPr>
      <t xml:space="preserve"> Desarrollo de Software</t>
    </r>
  </si>
  <si>
    <r>
      <rPr>
        <b/>
        <sz val="18"/>
        <rFont val="Calibri"/>
        <family val="2"/>
        <scheme val="minor"/>
      </rPr>
      <t>**</t>
    </r>
    <r>
      <rPr>
        <sz val="18"/>
        <rFont val="Calibri"/>
        <family val="2"/>
        <scheme val="minor"/>
      </rPr>
      <t xml:space="preserve"> El estudiante debe aprobar 8 UC en asignaturas electivas, pudiendo elegir entre las ofrecidas por la propia Escuela, o entre asignaturas obligatorias o electivas de otras escuelas de la Universidad, u otra universidad, siempre que estas últimas favorezcan el desarrollo del perfil técnico/profesional del mismo. La Modalidad dependerá de las características de la asignatura seleccionada por el estudiante.</t>
    </r>
  </si>
  <si>
    <r>
      <rPr>
        <b/>
        <sz val="18"/>
        <rFont val="Calibri"/>
        <family val="2"/>
        <scheme val="minor"/>
      </rPr>
      <t>***</t>
    </r>
    <r>
      <rPr>
        <sz val="18"/>
        <rFont val="Calibri"/>
        <family val="2"/>
        <scheme val="minor"/>
      </rPr>
      <t xml:space="preserve"> El estudiante debe aprobar 4 UC en asignaturas electivas complementarias, pudiendo elegir entre las ofrecidas por la propia Escuela, o entre asignaturas obligatorias o electivas de otras escuelas de la Universidad u otra universidad. La Modalidad dependerá de las características de la asignatura seleccionada por el estudiante.</t>
    </r>
  </si>
  <si>
    <t>02002</t>
  </si>
  <si>
    <t>00350</t>
  </si>
  <si>
    <t>02009</t>
  </si>
  <si>
    <t>02008</t>
  </si>
  <si>
    <t>00009</t>
  </si>
  <si>
    <t>00001</t>
  </si>
  <si>
    <t>CUSC</t>
  </si>
  <si>
    <t>IISC</t>
  </si>
  <si>
    <t>02003</t>
  </si>
  <si>
    <t>02001</t>
  </si>
  <si>
    <t>02000</t>
  </si>
  <si>
    <t>00002</t>
  </si>
  <si>
    <t>02004</t>
  </si>
  <si>
    <t>00011</t>
  </si>
  <si>
    <t>00003</t>
  </si>
  <si>
    <t>00024</t>
  </si>
  <si>
    <t>00008</t>
  </si>
  <si>
    <t>02005</t>
  </si>
  <si>
    <t>02006</t>
  </si>
  <si>
    <t>00014</t>
  </si>
  <si>
    <t>02007</t>
  </si>
  <si>
    <t>02013</t>
  </si>
  <si>
    <t>02011</t>
  </si>
  <si>
    <t>02010</t>
  </si>
  <si>
    <t>02012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</si>
  <si>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</si>
  <si>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</si>
  <si>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</si>
  <si>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</si>
  <si>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</si>
  <si>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</si>
  <si>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</si>
  <si>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</si>
  <si>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</si>
  <si>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</si>
  <si>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</si>
  <si>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</si>
  <si>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00192</t>
  </si>
  <si>
    <t>02026</t>
  </si>
  <si>
    <t>02027</t>
  </si>
  <si>
    <t>02028</t>
  </si>
  <si>
    <t>02029</t>
  </si>
  <si>
    <t>IILTG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</si>
</sst>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.00_ ;_-[$$-409]* \-#,##0.00\ ;_-[$$-409]* &quot;-&quot;??_ ;_-@_ 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8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8"/>
      <color theme="1"/>
      <name val="Wingdings"/>
      <charset val="2"/>
    </font>
    <font>
      <sz val="18"/>
      <color theme="1"/>
      <name val="Calibri"/>
      <family val="2"/>
      <charset val="2"/>
      <scheme val="minor"/>
    </font>
    <font>
      <sz val="18"/>
      <color rgb="FF000000"/>
      <name val="Wingdings"/>
      <charset val="2"/>
    </font>
    <font>
      <sz val="18"/>
      <color rgb="FF000000"/>
      <name val="Calibri"/>
      <family val="2"/>
      <charset val="2"/>
      <scheme val="minor"/>
    </font>
    <font>
      <b/>
      <u/>
      <sz val="18"/>
      <color rgb="FF000000"/>
      <name val="Calibri"/>
      <family val="2"/>
      <scheme val="minor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0"/>
      <color theme="1"/>
      <name val="Century Gothic"/>
      <family val="2"/>
    </font>
    <font>
      <b/>
      <sz val="10"/>
      <color rgb="FF000000"/>
      <name val="Century Gothic"/>
      <family val="2"/>
    </font>
    <font>
      <sz val="9"/>
      <color theme="1"/>
      <name val="Century Gothic"/>
      <family val="2"/>
    </font>
    <font>
      <b/>
      <sz val="10"/>
      <name val="Century Gothic"/>
      <family val="2"/>
    </font>
    <font>
      <sz val="18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theme="7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8"/>
      <color rgb="FFFF0000"/>
      <name val="Calibri"/>
      <family val="2"/>
    </font>
    <font>
      <sz val="18"/>
      <color rgb="FF000000"/>
      <name val="Calibri"/>
      <family val="2"/>
    </font>
    <font>
      <sz val="18"/>
      <color theme="1"/>
      <name val="Calibri"/>
      <family val="2"/>
    </font>
    <font>
      <b/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6">
    <xf numFmtId="0" fontId="0" fillId="0" borderId="0" xfId="0"/>
    <xf numFmtId="0" fontId="2" fillId="3" borderId="8" xfId="0" quotePrefix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9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" fontId="4" fillId="0" borderId="8" xfId="0" applyNumberFormat="1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" fontId="4" fillId="3" borderId="8" xfId="0" applyNumberFormat="1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1" fontId="7" fillId="2" borderId="12" xfId="0" applyNumberFormat="1" applyFont="1" applyFill="1" applyBorder="1" applyAlignment="1">
      <alignment horizontal="center" vertical="center"/>
    </xf>
    <xf numFmtId="1" fontId="7" fillId="2" borderId="13" xfId="0" applyNumberFormat="1" applyFont="1" applyFill="1" applyBorder="1" applyAlignment="1">
      <alignment horizontal="center" vertical="center"/>
    </xf>
    <xf numFmtId="1" fontId="7" fillId="2" borderId="14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indent="8"/>
    </xf>
    <xf numFmtId="0" fontId="8" fillId="0" borderId="0" xfId="0" applyFont="1" applyAlignment="1">
      <alignment horizontal="left" vertical="center" indent="6"/>
    </xf>
    <xf numFmtId="0" fontId="10" fillId="0" borderId="0" xfId="0" applyFont="1" applyAlignment="1">
      <alignment horizontal="left" vertical="center" indent="11"/>
    </xf>
    <xf numFmtId="0" fontId="12" fillId="0" borderId="0" xfId="0" applyFont="1" applyAlignment="1">
      <alignment horizontal="left" vertical="center" indent="8"/>
    </xf>
    <xf numFmtId="0" fontId="15" fillId="0" borderId="0" xfId="0" applyFont="1"/>
    <xf numFmtId="0" fontId="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 wrapText="1"/>
    </xf>
    <xf numFmtId="0" fontId="15" fillId="0" borderId="2" xfId="0" applyFont="1" applyBorder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1" xfId="0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16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1" fontId="17" fillId="0" borderId="1" xfId="0" applyNumberFormat="1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5" fillId="0" borderId="15" xfId="0" applyFont="1" applyBorder="1"/>
    <xf numFmtId="0" fontId="15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left" vertical="center"/>
    </xf>
    <xf numFmtId="0" fontId="15" fillId="0" borderId="3" xfId="0" quotePrefix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8" fillId="0" borderId="15" xfId="0" applyFont="1" applyBorder="1"/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21" fillId="0" borderId="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0" xfId="0" pivotButton="1" applyFont="1"/>
    <xf numFmtId="0" fontId="20" fillId="0" borderId="0" xfId="0" applyFont="1"/>
    <xf numFmtId="0" fontId="20" fillId="0" borderId="0" xfId="0" applyFont="1" applyAlignment="1">
      <alignment horizontal="left"/>
    </xf>
    <xf numFmtId="0" fontId="7" fillId="2" borderId="1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1" fontId="7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1" fontId="7" fillId="2" borderId="8" xfId="0" applyNumberFormat="1" applyFont="1" applyFill="1" applyBorder="1" applyAlignment="1">
      <alignment horizontal="center" vertical="center"/>
    </xf>
    <xf numFmtId="1" fontId="7" fillId="2" borderId="4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3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3" borderId="4" xfId="0" applyFont="1" applyFill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8" xfId="0" quotePrefix="1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5" xfId="0" quotePrefix="1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1" fontId="2" fillId="0" borderId="18" xfId="0" applyNumberFormat="1" applyFont="1" applyBorder="1" applyAlignment="1">
      <alignment horizontal="center" vertical="center"/>
    </xf>
    <xf numFmtId="1" fontId="4" fillId="0" borderId="18" xfId="0" applyNumberFormat="1" applyFont="1" applyBorder="1" applyAlignment="1">
      <alignment horizontal="center" vertical="center"/>
    </xf>
    <xf numFmtId="1" fontId="4" fillId="0" borderId="26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5" fillId="3" borderId="18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1" fontId="7" fillId="2" borderId="9" xfId="0" applyNumberFormat="1" applyFont="1" applyFill="1" applyBorder="1" applyAlignment="1">
      <alignment horizontal="center" vertical="center"/>
    </xf>
    <xf numFmtId="1" fontId="7" fillId="2" borderId="10" xfId="0" applyNumberFormat="1" applyFont="1" applyFill="1" applyBorder="1" applyAlignment="1">
      <alignment horizontal="center" vertical="center"/>
    </xf>
    <xf numFmtId="1" fontId="7" fillId="2" borderId="11" xfId="0" applyNumberFormat="1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left" vertical="center" wrapText="1"/>
    </xf>
    <xf numFmtId="164" fontId="7" fillId="2" borderId="31" xfId="0" applyNumberFormat="1" applyFont="1" applyFill="1" applyBorder="1" applyAlignment="1">
      <alignment horizontal="left" vertical="center" wrapText="1"/>
    </xf>
    <xf numFmtId="164" fontId="7" fillId="2" borderId="2" xfId="0" applyNumberFormat="1" applyFont="1" applyFill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vertical="center" wrapText="1"/>
    </xf>
    <xf numFmtId="0" fontId="7" fillId="2" borderId="3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10" fontId="26" fillId="2" borderId="16" xfId="0" applyNumberFormat="1" applyFont="1" applyFill="1" applyBorder="1" applyAlignment="1">
      <alignment vertical="center" wrapText="1"/>
    </xf>
    <xf numFmtId="10" fontId="26" fillId="2" borderId="31" xfId="0" applyNumberFormat="1" applyFont="1" applyFill="1" applyBorder="1" applyAlignment="1">
      <alignment vertical="center" wrapText="1"/>
    </xf>
    <xf numFmtId="164" fontId="6" fillId="4" borderId="32" xfId="0" applyNumberFormat="1" applyFont="1" applyFill="1" applyBorder="1" applyAlignment="1">
      <alignment horizontal="center" vertical="center"/>
    </xf>
    <xf numFmtId="164" fontId="7" fillId="2" borderId="3" xfId="0" applyNumberFormat="1" applyFont="1" applyFill="1" applyBorder="1" applyAlignment="1">
      <alignment horizontal="center" vertical="center"/>
    </xf>
    <xf numFmtId="0" fontId="29" fillId="4" borderId="1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left" vertical="center"/>
    </xf>
    <xf numFmtId="0" fontId="23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2" fillId="4" borderId="36" xfId="0" applyFont="1" applyFill="1" applyBorder="1" applyAlignment="1">
      <alignment horizontal="left" vertical="center"/>
    </xf>
    <xf numFmtId="0" fontId="2" fillId="4" borderId="10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3" borderId="3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35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25" fillId="2" borderId="22" xfId="0" applyFont="1" applyFill="1" applyBorder="1" applyAlignment="1">
      <alignment horizontal="center" vertical="center" wrapText="1"/>
    </xf>
    <xf numFmtId="0" fontId="25" fillId="2" borderId="23" xfId="0" applyFont="1" applyFill="1" applyBorder="1" applyAlignment="1">
      <alignment horizontal="center" vertical="center" wrapText="1"/>
    </xf>
    <xf numFmtId="0" fontId="25" fillId="2" borderId="24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right" vertical="center" wrapText="1"/>
    </xf>
    <xf numFmtId="0" fontId="7" fillId="2" borderId="0" xfId="0" applyFont="1" applyFill="1" applyAlignment="1">
      <alignment horizontal="left" vertical="center" wrapText="1"/>
    </xf>
    <xf numFmtId="0" fontId="7" fillId="2" borderId="28" xfId="0" applyFont="1" applyFill="1" applyBorder="1" applyAlignment="1">
      <alignment horizontal="left" vertical="center" wrapText="1"/>
    </xf>
    <xf numFmtId="0" fontId="7" fillId="2" borderId="29" xfId="0" applyFont="1" applyFill="1" applyBorder="1" applyAlignment="1">
      <alignment horizontal="right" vertical="center" wrapText="1"/>
    </xf>
    <xf numFmtId="0" fontId="7" fillId="2" borderId="21" xfId="0" applyFont="1" applyFill="1" applyBorder="1" applyAlignment="1">
      <alignment horizontal="right" vertical="center" wrapText="1"/>
    </xf>
    <xf numFmtId="0" fontId="7" fillId="2" borderId="21" xfId="0" applyFont="1" applyFill="1" applyBorder="1" applyAlignment="1">
      <alignment horizontal="left" vertical="center" wrapText="1"/>
    </xf>
    <xf numFmtId="0" fontId="7" fillId="2" borderId="30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164" fontId="7" fillId="2" borderId="16" xfId="0" applyNumberFormat="1" applyFont="1" applyFill="1" applyBorder="1" applyAlignment="1">
      <alignment horizontal="center" vertical="center" wrapText="1"/>
    </xf>
    <xf numFmtId="164" fontId="7" fillId="2" borderId="31" xfId="0" applyNumberFormat="1" applyFont="1" applyFill="1" applyBorder="1" applyAlignment="1">
      <alignment horizontal="center" vertical="center" wrapText="1"/>
    </xf>
    <xf numFmtId="0" fontId="7" fillId="2" borderId="3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68"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name val="Century Gothic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entury Gothic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fael Lara Campos" refreshedDate="45030.137774884257" createdVersion="8" refreshedVersion="8" minRefreshableVersion="3" recordCount="58">
  <cacheSource type="worksheet">
    <worksheetSource name="Table1"/>
  </cacheSource>
  <cacheFields count="24">
    <cacheField name="SEM" numFmtId="0">
      <sharedItems containsSemiMixedTypes="0" containsString="0" containsNumber="1" containsInteger="1" minValue="1" maxValue="8" count="8">
        <n v="1"/>
        <n v="2"/>
        <n v="3"/>
        <n v="4"/>
        <n v="5"/>
        <n v="6"/>
        <n v="7"/>
        <n v="8"/>
      </sharedItems>
    </cacheField>
    <cacheField name="EL" numFmtId="0">
      <sharedItems containsString="0" containsBlank="1" containsNumber="1" containsInteger="1" minValue="1" maxValue="1" count="2">
        <m/>
        <n v="1"/>
      </sharedItems>
    </cacheField>
    <cacheField name="PP" numFmtId="0">
      <sharedItems containsString="0" containsBlank="1" containsNumber="1" containsInteger="1" minValue="1" maxValue="1" count="2">
        <m/>
        <n v="1"/>
      </sharedItems>
    </cacheField>
    <cacheField name="FI" numFmtId="0">
      <sharedItems containsString="0" containsBlank="1" containsNumber="1" containsInteger="1" minValue="1" maxValue="1" count="2">
        <n v="1"/>
        <m/>
      </sharedItems>
    </cacheField>
    <cacheField name="MA" numFmtId="0">
      <sharedItems containsString="0" containsBlank="1" containsNumber="1" containsInteger="1" minValue="1" maxValue="1" count="2">
        <m/>
        <n v="1"/>
      </sharedItems>
    </cacheField>
    <cacheField name="CC" numFmtId="0">
      <sharedItems containsString="0" containsBlank="1" containsNumber="1" containsInteger="1" minValue="1" maxValue="1" count="2">
        <m/>
        <n v="1"/>
      </sharedItems>
    </cacheField>
    <cacheField name="IS" numFmtId="0">
      <sharedItems containsString="0" containsBlank="1" containsNumber="1" containsInteger="1" minValue="1" maxValue="1" count="2">
        <m/>
        <n v="1"/>
      </sharedItems>
    </cacheField>
    <cacheField name="TE" numFmtId="0">
      <sharedItems containsString="0" containsBlank="1" containsNumber="1" containsInteger="1" minValue="1" maxValue="1" count="2">
        <m/>
        <n v="1"/>
      </sharedItems>
    </cacheField>
    <cacheField name="FG" numFmtId="0">
      <sharedItems containsString="0" containsBlank="1" containsNumber="1" containsInteger="1" minValue="1" maxValue="1" count="2">
        <m/>
        <n v="1"/>
      </sharedItems>
    </cacheField>
    <cacheField name="IN" numFmtId="0">
      <sharedItems containsString="0" containsBlank="1" containsNumber="1" containsInteger="1" minValue="1" maxValue="1" count="2">
        <m/>
        <n v="1"/>
      </sharedItems>
    </cacheField>
    <cacheField name="Asignatura" numFmtId="0">
      <sharedItems count="58">
        <s v="Álgebra y Trigonometría"/>
        <s v="Lógica"/>
        <s v="Fundamentos de Programación"/>
        <s v="Principios de Marketing"/>
        <s v="Competencia Textual en Español"/>
        <s v="Identidad, Liderazgo y Compromiso I"/>
        <s v="Cálculo Diferencial"/>
        <s v="Álgebra Lineal"/>
        <s v="Matemáticas Discretas"/>
        <s v="Algoritmos y Programación"/>
        <s v="Algoritmos y Estructuras de Datos"/>
        <s v="Identidad, Liderazgo y Compromiso II"/>
        <s v="Cálculo Integral"/>
        <s v="Física General"/>
        <s v="Programación Orientada a Objetos"/>
        <s v="Sistemas de Información"/>
        <s v="Contabilidad Financiera"/>
        <s v="Innovación y Emprendimiento"/>
        <s v="Ecología, Ambiente y Sustentabilidad"/>
        <s v="Cálculo Vectorial"/>
        <s v="Ecuaciones Diferenciales Ordinarias"/>
        <s v="Ingeniería Económica"/>
        <s v="Organización del Computador"/>
        <s v="Programación Orientada a la Web"/>
        <s v="Ingeniería de Software"/>
        <s v="Interacción Humano-Computador"/>
        <s v="Electricidad y Magnetismo"/>
        <s v="Laboratorio de Física"/>
        <s v="Probabilidades y Estadística"/>
        <s v="Sistemas Operativos"/>
        <s v="Tópicos Especiales de Programación"/>
        <s v="Sistemas de Bases de Datos"/>
        <s v="Gestión de Proyectos de Software"/>
        <s v="Curso Servicio Comunitario"/>
        <s v="Métodos Numéricos"/>
        <s v="Inglés I"/>
        <s v="Arquitectura del Computador Aplicada"/>
        <s v="Redes de Comunicación de Datos"/>
        <s v="Tópicos Especiales para la Gestión de Datos"/>
        <s v="Ingeniería de Requisitos"/>
        <s v="Aseguramiento de la Calidad del Software"/>
        <s v="Servicio Comunitario"/>
        <s v="Inteligencia Artificial con Machine Learning"/>
        <s v="Inglés II"/>
        <s v="Investigación de Operaciones"/>
        <s v="Ciberseguridad"/>
        <s v="Inteligencia de Negocios"/>
        <s v="Desarrollo de Software"/>
        <s v="Electiva (Informática) I"/>
        <s v="Pasantía"/>
        <s v="Ética Profesional"/>
        <s v="Inglés Técnico"/>
        <s v="Evaluación de Sistemas Informáticos"/>
        <s v="Computación en la Nube"/>
        <s v="Arquitecturas Empresariales"/>
        <s v="Electiva (Informática) II"/>
        <s v="Electiva (Complementaria)"/>
        <s v="Trabajo de Grado (TG)"/>
      </sharedItems>
    </cacheField>
    <cacheField name="HT" numFmtId="0">
      <sharedItems containsString="0" containsBlank="1" containsNumber="1" containsInteger="1" minValue="0" maxValue="3" count="5">
        <n v="2"/>
        <n v="1"/>
        <n v="0"/>
        <n v="3"/>
        <m/>
      </sharedItems>
    </cacheField>
    <cacheField name="HP" numFmtId="0">
      <sharedItems containsString="0" containsBlank="1" containsNumber="1" containsInteger="1" minValue="0" maxValue="3"/>
    </cacheField>
    <cacheField name="HL" numFmtId="0">
      <sharedItems containsString="0" containsBlank="1" containsNumber="1" containsInteger="1" minValue="0" maxValue="4"/>
    </cacheField>
    <cacheField name="HAD" numFmtId="0">
      <sharedItems containsString="0" containsBlank="1" containsNumber="1" containsInteger="1" minValue="0" maxValue="6"/>
    </cacheField>
    <cacheField name="Pr" numFmtId="0">
      <sharedItems containsString="0" containsBlank="1" containsNumber="1" containsInteger="1" minValue="0" maxValue="0"/>
    </cacheField>
    <cacheField name="HTI" numFmtId="0">
      <sharedItems containsString="0" containsBlank="1" containsNumber="1" containsInteger="1" minValue="2" maxValue="40"/>
    </cacheField>
    <cacheField name="TH " numFmtId="0">
      <sharedItems containsString="0" containsBlank="1" containsNumber="1" containsInteger="1" minValue="4" maxValue="40"/>
    </cacheField>
    <cacheField name="UC" numFmtId="0">
      <sharedItems containsString="0" containsBlank="1" containsNumber="1" containsInteger="1" minValue="2" maxValue="21"/>
    </cacheField>
    <cacheField name="HTSEM" numFmtId="0">
      <sharedItems containsSemiMixedTypes="0" containsString="0" containsNumber="1" containsInteger="1" minValue="0" maxValue="45"/>
    </cacheField>
    <cacheField name="HPSEM" numFmtId="0">
      <sharedItems containsSemiMixedTypes="0" containsString="0" containsNumber="1" containsInteger="1" minValue="0" maxValue="45"/>
    </cacheField>
    <cacheField name="HLSEM" numFmtId="0">
      <sharedItems containsSemiMixedTypes="0" containsString="0" containsNumber="1" containsInteger="1" minValue="0" maxValue="60"/>
    </cacheField>
    <cacheField name="HADSEM" numFmtId="0">
      <sharedItems containsSemiMixedTypes="0" containsString="0" containsNumber="1" containsInteger="1" minValue="0" maxValue="90" count="6">
        <n v="60"/>
        <n v="45"/>
        <n v="30"/>
        <n v="75"/>
        <n v="90"/>
        <n v="0"/>
      </sharedItems>
    </cacheField>
    <cacheField name="THSEM" numFmtId="0">
      <sharedItems containsSemiMixedTypes="0" containsString="0" containsNumber="1" containsInteger="1" minValue="0" maxValue="600" count="12">
        <n v="150"/>
        <n v="105"/>
        <n v="90"/>
        <n v="135"/>
        <n v="75"/>
        <n v="180"/>
        <n v="210"/>
        <n v="120"/>
        <n v="60"/>
        <n v="0"/>
        <n v="240"/>
        <n v="6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">
  <r>
    <x v="0"/>
    <x v="0"/>
    <x v="0"/>
    <x v="0"/>
    <x v="0"/>
    <x v="0"/>
    <x v="0"/>
    <x v="0"/>
    <x v="0"/>
    <x v="0"/>
    <x v="0"/>
    <x v="0"/>
    <n v="2"/>
    <n v="0"/>
    <n v="4"/>
    <n v="0"/>
    <n v="6"/>
    <n v="10"/>
    <n v="5"/>
    <n v="30"/>
    <n v="30"/>
    <n v="0"/>
    <x v="0"/>
    <x v="0"/>
  </r>
  <r>
    <x v="0"/>
    <x v="0"/>
    <x v="0"/>
    <x v="1"/>
    <x v="1"/>
    <x v="0"/>
    <x v="0"/>
    <x v="0"/>
    <x v="0"/>
    <x v="0"/>
    <x v="1"/>
    <x v="1"/>
    <n v="2"/>
    <n v="0"/>
    <n v="3"/>
    <n v="0"/>
    <n v="4"/>
    <n v="7"/>
    <n v="4"/>
    <n v="15"/>
    <n v="30"/>
    <n v="0"/>
    <x v="1"/>
    <x v="1"/>
  </r>
  <r>
    <x v="0"/>
    <x v="0"/>
    <x v="0"/>
    <x v="1"/>
    <x v="0"/>
    <x v="1"/>
    <x v="0"/>
    <x v="0"/>
    <x v="0"/>
    <x v="0"/>
    <x v="2"/>
    <x v="2"/>
    <n v="0"/>
    <n v="3"/>
    <n v="3"/>
    <n v="0"/>
    <n v="3"/>
    <n v="6"/>
    <n v="3"/>
    <n v="0"/>
    <n v="0"/>
    <n v="45"/>
    <x v="1"/>
    <x v="2"/>
  </r>
  <r>
    <x v="0"/>
    <x v="0"/>
    <x v="0"/>
    <x v="1"/>
    <x v="0"/>
    <x v="0"/>
    <x v="0"/>
    <x v="0"/>
    <x v="1"/>
    <x v="0"/>
    <x v="3"/>
    <x v="3"/>
    <n v="0"/>
    <n v="0"/>
    <n v="3"/>
    <n v="0"/>
    <n v="6"/>
    <n v="9"/>
    <n v="5"/>
    <n v="45"/>
    <n v="0"/>
    <n v="0"/>
    <x v="1"/>
    <x v="3"/>
  </r>
  <r>
    <x v="0"/>
    <x v="0"/>
    <x v="0"/>
    <x v="1"/>
    <x v="0"/>
    <x v="0"/>
    <x v="0"/>
    <x v="0"/>
    <x v="0"/>
    <x v="1"/>
    <x v="4"/>
    <x v="1"/>
    <n v="3"/>
    <n v="0"/>
    <n v="4"/>
    <n v="0"/>
    <n v="5"/>
    <n v="9"/>
    <n v="5"/>
    <n v="15"/>
    <n v="45"/>
    <n v="0"/>
    <x v="0"/>
    <x v="3"/>
  </r>
  <r>
    <x v="0"/>
    <x v="0"/>
    <x v="0"/>
    <x v="1"/>
    <x v="0"/>
    <x v="0"/>
    <x v="0"/>
    <x v="0"/>
    <x v="0"/>
    <x v="1"/>
    <x v="5"/>
    <x v="1"/>
    <n v="1"/>
    <n v="0"/>
    <n v="2"/>
    <n v="0"/>
    <n v="3"/>
    <n v="5"/>
    <n v="3"/>
    <n v="15"/>
    <n v="15"/>
    <n v="0"/>
    <x v="2"/>
    <x v="4"/>
  </r>
  <r>
    <x v="1"/>
    <x v="0"/>
    <x v="0"/>
    <x v="0"/>
    <x v="0"/>
    <x v="0"/>
    <x v="0"/>
    <x v="0"/>
    <x v="0"/>
    <x v="0"/>
    <x v="6"/>
    <x v="0"/>
    <n v="3"/>
    <n v="0"/>
    <n v="5"/>
    <n v="0"/>
    <n v="7"/>
    <n v="12"/>
    <n v="6"/>
    <n v="30"/>
    <n v="45"/>
    <n v="0"/>
    <x v="3"/>
    <x v="5"/>
  </r>
  <r>
    <x v="1"/>
    <x v="0"/>
    <x v="0"/>
    <x v="0"/>
    <x v="0"/>
    <x v="0"/>
    <x v="0"/>
    <x v="0"/>
    <x v="0"/>
    <x v="0"/>
    <x v="7"/>
    <x v="0"/>
    <n v="3"/>
    <n v="0"/>
    <n v="5"/>
    <n v="0"/>
    <n v="7"/>
    <n v="12"/>
    <n v="6"/>
    <n v="30"/>
    <n v="45"/>
    <n v="0"/>
    <x v="3"/>
    <x v="5"/>
  </r>
  <r>
    <x v="1"/>
    <x v="0"/>
    <x v="0"/>
    <x v="1"/>
    <x v="1"/>
    <x v="0"/>
    <x v="0"/>
    <x v="0"/>
    <x v="0"/>
    <x v="0"/>
    <x v="8"/>
    <x v="0"/>
    <n v="3"/>
    <n v="0"/>
    <n v="5"/>
    <n v="0"/>
    <n v="7"/>
    <n v="12"/>
    <n v="6"/>
    <n v="30"/>
    <n v="45"/>
    <n v="0"/>
    <x v="3"/>
    <x v="5"/>
  </r>
  <r>
    <x v="1"/>
    <x v="0"/>
    <x v="0"/>
    <x v="1"/>
    <x v="0"/>
    <x v="1"/>
    <x v="0"/>
    <x v="0"/>
    <x v="0"/>
    <x v="0"/>
    <x v="9"/>
    <x v="2"/>
    <n v="0"/>
    <n v="3"/>
    <n v="3"/>
    <n v="0"/>
    <n v="3"/>
    <n v="6"/>
    <n v="3"/>
    <n v="0"/>
    <n v="0"/>
    <n v="45"/>
    <x v="1"/>
    <x v="2"/>
  </r>
  <r>
    <x v="1"/>
    <x v="0"/>
    <x v="0"/>
    <x v="1"/>
    <x v="0"/>
    <x v="1"/>
    <x v="0"/>
    <x v="0"/>
    <x v="0"/>
    <x v="0"/>
    <x v="10"/>
    <x v="0"/>
    <n v="2"/>
    <n v="2"/>
    <n v="6"/>
    <n v="0"/>
    <n v="8"/>
    <n v="14"/>
    <n v="7"/>
    <n v="30"/>
    <n v="30"/>
    <n v="30"/>
    <x v="4"/>
    <x v="6"/>
  </r>
  <r>
    <x v="1"/>
    <x v="0"/>
    <x v="0"/>
    <x v="1"/>
    <x v="0"/>
    <x v="0"/>
    <x v="0"/>
    <x v="0"/>
    <x v="0"/>
    <x v="1"/>
    <x v="11"/>
    <x v="1"/>
    <n v="1"/>
    <n v="0"/>
    <n v="2"/>
    <n v="0"/>
    <n v="3"/>
    <n v="5"/>
    <n v="3"/>
    <n v="15"/>
    <n v="15"/>
    <n v="0"/>
    <x v="2"/>
    <x v="4"/>
  </r>
  <r>
    <x v="2"/>
    <x v="0"/>
    <x v="0"/>
    <x v="0"/>
    <x v="0"/>
    <x v="0"/>
    <x v="0"/>
    <x v="0"/>
    <x v="0"/>
    <x v="0"/>
    <x v="12"/>
    <x v="0"/>
    <n v="2"/>
    <n v="0"/>
    <n v="4"/>
    <n v="0"/>
    <n v="6"/>
    <n v="10"/>
    <n v="5"/>
    <n v="30"/>
    <n v="30"/>
    <n v="0"/>
    <x v="0"/>
    <x v="0"/>
  </r>
  <r>
    <x v="2"/>
    <x v="0"/>
    <x v="0"/>
    <x v="0"/>
    <x v="0"/>
    <x v="0"/>
    <x v="0"/>
    <x v="0"/>
    <x v="0"/>
    <x v="0"/>
    <x v="13"/>
    <x v="0"/>
    <n v="3"/>
    <n v="0"/>
    <n v="5"/>
    <n v="0"/>
    <n v="7"/>
    <n v="12"/>
    <n v="6"/>
    <n v="30"/>
    <n v="45"/>
    <n v="0"/>
    <x v="3"/>
    <x v="5"/>
  </r>
  <r>
    <x v="2"/>
    <x v="0"/>
    <x v="0"/>
    <x v="1"/>
    <x v="0"/>
    <x v="1"/>
    <x v="0"/>
    <x v="0"/>
    <x v="0"/>
    <x v="0"/>
    <x v="14"/>
    <x v="0"/>
    <n v="2"/>
    <n v="2"/>
    <n v="6"/>
    <n v="0"/>
    <n v="8"/>
    <n v="14"/>
    <n v="7"/>
    <n v="30"/>
    <n v="30"/>
    <n v="30"/>
    <x v="4"/>
    <x v="6"/>
  </r>
  <r>
    <x v="2"/>
    <x v="0"/>
    <x v="0"/>
    <x v="1"/>
    <x v="0"/>
    <x v="0"/>
    <x v="1"/>
    <x v="0"/>
    <x v="0"/>
    <x v="0"/>
    <x v="15"/>
    <x v="0"/>
    <n v="1"/>
    <n v="0"/>
    <n v="3"/>
    <n v="0"/>
    <n v="5"/>
    <n v="8"/>
    <n v="4"/>
    <n v="30"/>
    <n v="15"/>
    <n v="0"/>
    <x v="1"/>
    <x v="7"/>
  </r>
  <r>
    <x v="2"/>
    <x v="0"/>
    <x v="0"/>
    <x v="1"/>
    <x v="0"/>
    <x v="0"/>
    <x v="0"/>
    <x v="0"/>
    <x v="1"/>
    <x v="0"/>
    <x v="16"/>
    <x v="0"/>
    <n v="2"/>
    <n v="0"/>
    <n v="4"/>
    <n v="0"/>
    <n v="6"/>
    <n v="10"/>
    <n v="5"/>
    <n v="30"/>
    <n v="30"/>
    <n v="0"/>
    <x v="0"/>
    <x v="0"/>
  </r>
  <r>
    <x v="2"/>
    <x v="0"/>
    <x v="0"/>
    <x v="1"/>
    <x v="0"/>
    <x v="0"/>
    <x v="0"/>
    <x v="0"/>
    <x v="0"/>
    <x v="1"/>
    <x v="17"/>
    <x v="1"/>
    <n v="1"/>
    <n v="0"/>
    <n v="2"/>
    <n v="0"/>
    <n v="3"/>
    <n v="5"/>
    <n v="3"/>
    <n v="15"/>
    <n v="15"/>
    <n v="0"/>
    <x v="2"/>
    <x v="4"/>
  </r>
  <r>
    <x v="2"/>
    <x v="0"/>
    <x v="0"/>
    <x v="1"/>
    <x v="0"/>
    <x v="0"/>
    <x v="0"/>
    <x v="0"/>
    <x v="0"/>
    <x v="1"/>
    <x v="18"/>
    <x v="1"/>
    <n v="1"/>
    <n v="0"/>
    <n v="2"/>
    <n v="0"/>
    <n v="3"/>
    <n v="5"/>
    <n v="3"/>
    <n v="15"/>
    <n v="15"/>
    <n v="0"/>
    <x v="2"/>
    <x v="4"/>
  </r>
  <r>
    <x v="3"/>
    <x v="0"/>
    <x v="0"/>
    <x v="0"/>
    <x v="0"/>
    <x v="0"/>
    <x v="0"/>
    <x v="0"/>
    <x v="0"/>
    <x v="0"/>
    <x v="19"/>
    <x v="0"/>
    <n v="2"/>
    <n v="0"/>
    <n v="4"/>
    <n v="0"/>
    <n v="6"/>
    <n v="10"/>
    <n v="5"/>
    <n v="30"/>
    <n v="30"/>
    <n v="0"/>
    <x v="0"/>
    <x v="0"/>
  </r>
  <r>
    <x v="3"/>
    <x v="0"/>
    <x v="0"/>
    <x v="0"/>
    <x v="0"/>
    <x v="0"/>
    <x v="0"/>
    <x v="0"/>
    <x v="0"/>
    <x v="0"/>
    <x v="20"/>
    <x v="0"/>
    <n v="1"/>
    <n v="0"/>
    <n v="3"/>
    <n v="0"/>
    <n v="5"/>
    <n v="8"/>
    <n v="4"/>
    <n v="30"/>
    <n v="15"/>
    <n v="0"/>
    <x v="1"/>
    <x v="7"/>
  </r>
  <r>
    <x v="3"/>
    <x v="0"/>
    <x v="0"/>
    <x v="1"/>
    <x v="0"/>
    <x v="0"/>
    <x v="0"/>
    <x v="0"/>
    <x v="1"/>
    <x v="0"/>
    <x v="21"/>
    <x v="0"/>
    <n v="1"/>
    <n v="0"/>
    <n v="3"/>
    <n v="0"/>
    <n v="5"/>
    <n v="8"/>
    <n v="4"/>
    <n v="30"/>
    <n v="15"/>
    <n v="0"/>
    <x v="1"/>
    <x v="7"/>
  </r>
  <r>
    <x v="3"/>
    <x v="0"/>
    <x v="0"/>
    <x v="1"/>
    <x v="0"/>
    <x v="0"/>
    <x v="0"/>
    <x v="1"/>
    <x v="0"/>
    <x v="0"/>
    <x v="22"/>
    <x v="0"/>
    <n v="2"/>
    <n v="0"/>
    <n v="4"/>
    <n v="0"/>
    <n v="6"/>
    <n v="10"/>
    <n v="5"/>
    <n v="30"/>
    <n v="30"/>
    <n v="0"/>
    <x v="0"/>
    <x v="0"/>
  </r>
  <r>
    <x v="3"/>
    <x v="0"/>
    <x v="0"/>
    <x v="1"/>
    <x v="0"/>
    <x v="1"/>
    <x v="0"/>
    <x v="0"/>
    <x v="0"/>
    <x v="0"/>
    <x v="23"/>
    <x v="2"/>
    <n v="0"/>
    <n v="3"/>
    <n v="3"/>
    <n v="0"/>
    <n v="3"/>
    <n v="6"/>
    <n v="3"/>
    <n v="0"/>
    <n v="0"/>
    <n v="45"/>
    <x v="1"/>
    <x v="2"/>
  </r>
  <r>
    <x v="3"/>
    <x v="0"/>
    <x v="0"/>
    <x v="1"/>
    <x v="0"/>
    <x v="0"/>
    <x v="1"/>
    <x v="0"/>
    <x v="0"/>
    <x v="0"/>
    <x v="24"/>
    <x v="0"/>
    <n v="2"/>
    <n v="0"/>
    <n v="4"/>
    <n v="0"/>
    <n v="6"/>
    <n v="10"/>
    <n v="5"/>
    <n v="30"/>
    <n v="30"/>
    <n v="0"/>
    <x v="0"/>
    <x v="0"/>
  </r>
  <r>
    <x v="3"/>
    <x v="0"/>
    <x v="0"/>
    <x v="1"/>
    <x v="0"/>
    <x v="0"/>
    <x v="1"/>
    <x v="0"/>
    <x v="0"/>
    <x v="0"/>
    <x v="25"/>
    <x v="0"/>
    <n v="2"/>
    <n v="0"/>
    <n v="4"/>
    <n v="0"/>
    <n v="6"/>
    <n v="10"/>
    <n v="5"/>
    <n v="30"/>
    <n v="30"/>
    <n v="0"/>
    <x v="0"/>
    <x v="0"/>
  </r>
  <r>
    <x v="4"/>
    <x v="0"/>
    <x v="0"/>
    <x v="0"/>
    <x v="0"/>
    <x v="0"/>
    <x v="0"/>
    <x v="0"/>
    <x v="0"/>
    <x v="0"/>
    <x v="26"/>
    <x v="0"/>
    <n v="3"/>
    <n v="0"/>
    <n v="5"/>
    <n v="0"/>
    <n v="7"/>
    <n v="12"/>
    <n v="6"/>
    <n v="30"/>
    <n v="45"/>
    <n v="0"/>
    <x v="3"/>
    <x v="5"/>
  </r>
  <r>
    <x v="4"/>
    <x v="0"/>
    <x v="0"/>
    <x v="0"/>
    <x v="0"/>
    <x v="0"/>
    <x v="0"/>
    <x v="0"/>
    <x v="0"/>
    <x v="0"/>
    <x v="27"/>
    <x v="2"/>
    <n v="0"/>
    <n v="2"/>
    <n v="2"/>
    <n v="0"/>
    <n v="2"/>
    <n v="4"/>
    <n v="2"/>
    <n v="0"/>
    <n v="0"/>
    <n v="30"/>
    <x v="2"/>
    <x v="8"/>
  </r>
  <r>
    <x v="4"/>
    <x v="0"/>
    <x v="0"/>
    <x v="1"/>
    <x v="0"/>
    <x v="0"/>
    <x v="0"/>
    <x v="0"/>
    <x v="1"/>
    <x v="0"/>
    <x v="28"/>
    <x v="0"/>
    <n v="2"/>
    <n v="0"/>
    <n v="4"/>
    <n v="0"/>
    <n v="6"/>
    <n v="10"/>
    <n v="5"/>
    <n v="30"/>
    <n v="30"/>
    <n v="0"/>
    <x v="0"/>
    <x v="0"/>
  </r>
  <r>
    <x v="4"/>
    <x v="0"/>
    <x v="0"/>
    <x v="1"/>
    <x v="0"/>
    <x v="0"/>
    <x v="0"/>
    <x v="1"/>
    <x v="0"/>
    <x v="0"/>
    <x v="29"/>
    <x v="0"/>
    <n v="2"/>
    <n v="0"/>
    <n v="4"/>
    <n v="0"/>
    <n v="6"/>
    <n v="10"/>
    <n v="5"/>
    <n v="30"/>
    <n v="30"/>
    <n v="0"/>
    <x v="0"/>
    <x v="0"/>
  </r>
  <r>
    <x v="4"/>
    <x v="0"/>
    <x v="0"/>
    <x v="1"/>
    <x v="0"/>
    <x v="1"/>
    <x v="0"/>
    <x v="0"/>
    <x v="0"/>
    <x v="0"/>
    <x v="30"/>
    <x v="2"/>
    <n v="0"/>
    <n v="3"/>
    <n v="3"/>
    <n v="0"/>
    <n v="3"/>
    <n v="6"/>
    <n v="3"/>
    <n v="0"/>
    <n v="0"/>
    <n v="45"/>
    <x v="1"/>
    <x v="2"/>
  </r>
  <r>
    <x v="4"/>
    <x v="0"/>
    <x v="0"/>
    <x v="1"/>
    <x v="0"/>
    <x v="0"/>
    <x v="1"/>
    <x v="0"/>
    <x v="0"/>
    <x v="0"/>
    <x v="31"/>
    <x v="0"/>
    <n v="3"/>
    <n v="0"/>
    <n v="5"/>
    <n v="0"/>
    <n v="7"/>
    <n v="12"/>
    <n v="6"/>
    <n v="30"/>
    <n v="45"/>
    <n v="0"/>
    <x v="3"/>
    <x v="5"/>
  </r>
  <r>
    <x v="4"/>
    <x v="0"/>
    <x v="0"/>
    <x v="1"/>
    <x v="0"/>
    <x v="0"/>
    <x v="0"/>
    <x v="0"/>
    <x v="1"/>
    <x v="0"/>
    <x v="32"/>
    <x v="0"/>
    <n v="1"/>
    <n v="0"/>
    <n v="3"/>
    <n v="0"/>
    <n v="5"/>
    <n v="8"/>
    <n v="4"/>
    <n v="30"/>
    <n v="15"/>
    <n v="0"/>
    <x v="1"/>
    <x v="7"/>
  </r>
  <r>
    <x v="4"/>
    <x v="0"/>
    <x v="0"/>
    <x v="1"/>
    <x v="0"/>
    <x v="0"/>
    <x v="0"/>
    <x v="0"/>
    <x v="0"/>
    <x v="0"/>
    <x v="33"/>
    <x v="4"/>
    <m/>
    <m/>
    <m/>
    <m/>
    <m/>
    <m/>
    <m/>
    <n v="0"/>
    <n v="0"/>
    <n v="0"/>
    <x v="5"/>
    <x v="9"/>
  </r>
  <r>
    <x v="5"/>
    <x v="0"/>
    <x v="0"/>
    <x v="0"/>
    <x v="0"/>
    <x v="0"/>
    <x v="0"/>
    <x v="0"/>
    <x v="0"/>
    <x v="0"/>
    <x v="34"/>
    <x v="2"/>
    <n v="2"/>
    <n v="0"/>
    <n v="2"/>
    <n v="0"/>
    <n v="2"/>
    <n v="4"/>
    <n v="2"/>
    <n v="0"/>
    <n v="30"/>
    <n v="0"/>
    <x v="2"/>
    <x v="8"/>
  </r>
  <r>
    <x v="5"/>
    <x v="0"/>
    <x v="0"/>
    <x v="1"/>
    <x v="0"/>
    <x v="0"/>
    <x v="0"/>
    <x v="0"/>
    <x v="0"/>
    <x v="1"/>
    <x v="35"/>
    <x v="1"/>
    <n v="0"/>
    <n v="2"/>
    <n v="3"/>
    <n v="0"/>
    <n v="4"/>
    <n v="7"/>
    <n v="4"/>
    <n v="15"/>
    <n v="0"/>
    <n v="30"/>
    <x v="1"/>
    <x v="1"/>
  </r>
  <r>
    <x v="5"/>
    <x v="0"/>
    <x v="0"/>
    <x v="1"/>
    <x v="0"/>
    <x v="0"/>
    <x v="0"/>
    <x v="1"/>
    <x v="0"/>
    <x v="0"/>
    <x v="36"/>
    <x v="0"/>
    <n v="2"/>
    <n v="2"/>
    <n v="6"/>
    <n v="0"/>
    <n v="8"/>
    <n v="14"/>
    <n v="7"/>
    <n v="30"/>
    <n v="30"/>
    <n v="30"/>
    <x v="4"/>
    <x v="6"/>
  </r>
  <r>
    <x v="5"/>
    <x v="0"/>
    <x v="0"/>
    <x v="1"/>
    <x v="0"/>
    <x v="0"/>
    <x v="0"/>
    <x v="1"/>
    <x v="0"/>
    <x v="0"/>
    <x v="37"/>
    <x v="0"/>
    <n v="1"/>
    <n v="2"/>
    <n v="5"/>
    <n v="0"/>
    <n v="7"/>
    <n v="12"/>
    <n v="6"/>
    <n v="30"/>
    <n v="15"/>
    <n v="30"/>
    <x v="3"/>
    <x v="5"/>
  </r>
  <r>
    <x v="5"/>
    <x v="0"/>
    <x v="0"/>
    <x v="1"/>
    <x v="0"/>
    <x v="0"/>
    <x v="1"/>
    <x v="0"/>
    <x v="0"/>
    <x v="0"/>
    <x v="38"/>
    <x v="0"/>
    <n v="1"/>
    <n v="0"/>
    <n v="3"/>
    <n v="0"/>
    <n v="5"/>
    <n v="8"/>
    <n v="4"/>
    <n v="30"/>
    <n v="15"/>
    <n v="0"/>
    <x v="1"/>
    <x v="7"/>
  </r>
  <r>
    <x v="5"/>
    <x v="0"/>
    <x v="0"/>
    <x v="1"/>
    <x v="0"/>
    <x v="0"/>
    <x v="1"/>
    <x v="0"/>
    <x v="0"/>
    <x v="0"/>
    <x v="39"/>
    <x v="0"/>
    <n v="1"/>
    <n v="0"/>
    <n v="3"/>
    <n v="0"/>
    <n v="5"/>
    <n v="8"/>
    <n v="4"/>
    <n v="30"/>
    <n v="15"/>
    <n v="0"/>
    <x v="1"/>
    <x v="7"/>
  </r>
  <r>
    <x v="5"/>
    <x v="0"/>
    <x v="0"/>
    <x v="1"/>
    <x v="0"/>
    <x v="0"/>
    <x v="1"/>
    <x v="0"/>
    <x v="0"/>
    <x v="0"/>
    <x v="40"/>
    <x v="0"/>
    <n v="1"/>
    <n v="0"/>
    <n v="3"/>
    <n v="0"/>
    <n v="5"/>
    <n v="8"/>
    <n v="4"/>
    <n v="30"/>
    <n v="15"/>
    <n v="0"/>
    <x v="1"/>
    <x v="7"/>
  </r>
  <r>
    <x v="5"/>
    <x v="0"/>
    <x v="0"/>
    <x v="1"/>
    <x v="0"/>
    <x v="0"/>
    <x v="0"/>
    <x v="0"/>
    <x v="0"/>
    <x v="0"/>
    <x v="41"/>
    <x v="4"/>
    <m/>
    <m/>
    <m/>
    <m/>
    <m/>
    <m/>
    <m/>
    <n v="0"/>
    <n v="0"/>
    <n v="0"/>
    <x v="5"/>
    <x v="9"/>
  </r>
  <r>
    <x v="6"/>
    <x v="0"/>
    <x v="0"/>
    <x v="1"/>
    <x v="0"/>
    <x v="1"/>
    <x v="0"/>
    <x v="0"/>
    <x v="0"/>
    <x v="0"/>
    <x v="42"/>
    <x v="2"/>
    <n v="0"/>
    <n v="4"/>
    <n v="4"/>
    <n v="0"/>
    <n v="4"/>
    <n v="8"/>
    <n v="4"/>
    <n v="0"/>
    <n v="0"/>
    <n v="60"/>
    <x v="0"/>
    <x v="7"/>
  </r>
  <r>
    <x v="6"/>
    <x v="0"/>
    <x v="0"/>
    <x v="1"/>
    <x v="0"/>
    <x v="0"/>
    <x v="0"/>
    <x v="0"/>
    <x v="0"/>
    <x v="1"/>
    <x v="43"/>
    <x v="1"/>
    <n v="0"/>
    <n v="2"/>
    <n v="3"/>
    <n v="0"/>
    <n v="4"/>
    <n v="7"/>
    <n v="4"/>
    <n v="15"/>
    <n v="0"/>
    <n v="30"/>
    <x v="1"/>
    <x v="1"/>
  </r>
  <r>
    <x v="6"/>
    <x v="0"/>
    <x v="0"/>
    <x v="1"/>
    <x v="0"/>
    <x v="0"/>
    <x v="0"/>
    <x v="0"/>
    <x v="1"/>
    <x v="0"/>
    <x v="44"/>
    <x v="0"/>
    <n v="2"/>
    <n v="0"/>
    <n v="4"/>
    <n v="0"/>
    <n v="6"/>
    <n v="10"/>
    <n v="5"/>
    <n v="30"/>
    <n v="30"/>
    <n v="0"/>
    <x v="0"/>
    <x v="0"/>
  </r>
  <r>
    <x v="6"/>
    <x v="0"/>
    <x v="0"/>
    <x v="1"/>
    <x v="0"/>
    <x v="0"/>
    <x v="0"/>
    <x v="1"/>
    <x v="0"/>
    <x v="0"/>
    <x v="45"/>
    <x v="0"/>
    <n v="0"/>
    <n v="2"/>
    <n v="4"/>
    <n v="0"/>
    <n v="6"/>
    <n v="10"/>
    <n v="5"/>
    <n v="30"/>
    <n v="0"/>
    <n v="30"/>
    <x v="0"/>
    <x v="0"/>
  </r>
  <r>
    <x v="6"/>
    <x v="0"/>
    <x v="0"/>
    <x v="1"/>
    <x v="0"/>
    <x v="0"/>
    <x v="0"/>
    <x v="0"/>
    <x v="1"/>
    <x v="0"/>
    <x v="46"/>
    <x v="2"/>
    <n v="0"/>
    <n v="3"/>
    <n v="3"/>
    <n v="0"/>
    <n v="3"/>
    <n v="6"/>
    <n v="3"/>
    <n v="0"/>
    <n v="0"/>
    <n v="45"/>
    <x v="1"/>
    <x v="2"/>
  </r>
  <r>
    <x v="6"/>
    <x v="0"/>
    <x v="0"/>
    <x v="1"/>
    <x v="0"/>
    <x v="0"/>
    <x v="1"/>
    <x v="0"/>
    <x v="0"/>
    <x v="0"/>
    <x v="47"/>
    <x v="0"/>
    <n v="2"/>
    <n v="0"/>
    <n v="4"/>
    <n v="0"/>
    <n v="6"/>
    <n v="10"/>
    <n v="5"/>
    <n v="30"/>
    <n v="30"/>
    <n v="0"/>
    <x v="0"/>
    <x v="0"/>
  </r>
  <r>
    <x v="6"/>
    <x v="1"/>
    <x v="0"/>
    <x v="1"/>
    <x v="0"/>
    <x v="0"/>
    <x v="0"/>
    <x v="0"/>
    <x v="0"/>
    <x v="0"/>
    <x v="48"/>
    <x v="0"/>
    <n v="1"/>
    <n v="0"/>
    <n v="3"/>
    <n v="0"/>
    <n v="5"/>
    <n v="8"/>
    <n v="4"/>
    <n v="30"/>
    <n v="15"/>
    <n v="0"/>
    <x v="1"/>
    <x v="7"/>
  </r>
  <r>
    <x v="6"/>
    <x v="0"/>
    <x v="1"/>
    <x v="1"/>
    <x v="0"/>
    <x v="0"/>
    <x v="0"/>
    <x v="0"/>
    <x v="0"/>
    <x v="0"/>
    <x v="49"/>
    <x v="2"/>
    <n v="0"/>
    <n v="0"/>
    <n v="0"/>
    <n v="0"/>
    <n v="16"/>
    <n v="16"/>
    <n v="4"/>
    <n v="0"/>
    <n v="0"/>
    <n v="0"/>
    <x v="5"/>
    <x v="10"/>
  </r>
  <r>
    <x v="7"/>
    <x v="0"/>
    <x v="0"/>
    <x v="1"/>
    <x v="0"/>
    <x v="0"/>
    <x v="0"/>
    <x v="0"/>
    <x v="0"/>
    <x v="1"/>
    <x v="50"/>
    <x v="1"/>
    <n v="1"/>
    <n v="0"/>
    <n v="2"/>
    <n v="0"/>
    <n v="3"/>
    <n v="5"/>
    <n v="3"/>
    <n v="15"/>
    <n v="15"/>
    <n v="0"/>
    <x v="2"/>
    <x v="4"/>
  </r>
  <r>
    <x v="7"/>
    <x v="0"/>
    <x v="0"/>
    <x v="1"/>
    <x v="0"/>
    <x v="0"/>
    <x v="0"/>
    <x v="0"/>
    <x v="0"/>
    <x v="1"/>
    <x v="51"/>
    <x v="1"/>
    <n v="2"/>
    <n v="0"/>
    <n v="3"/>
    <n v="0"/>
    <n v="4"/>
    <n v="7"/>
    <n v="4"/>
    <n v="15"/>
    <n v="30"/>
    <n v="0"/>
    <x v="1"/>
    <x v="1"/>
  </r>
  <r>
    <x v="7"/>
    <x v="0"/>
    <x v="0"/>
    <x v="1"/>
    <x v="0"/>
    <x v="0"/>
    <x v="0"/>
    <x v="0"/>
    <x v="1"/>
    <x v="0"/>
    <x v="52"/>
    <x v="0"/>
    <n v="1"/>
    <n v="0"/>
    <n v="3"/>
    <n v="0"/>
    <n v="5"/>
    <n v="8"/>
    <n v="4"/>
    <n v="30"/>
    <n v="15"/>
    <n v="0"/>
    <x v="1"/>
    <x v="7"/>
  </r>
  <r>
    <x v="7"/>
    <x v="0"/>
    <x v="0"/>
    <x v="1"/>
    <x v="0"/>
    <x v="0"/>
    <x v="0"/>
    <x v="1"/>
    <x v="0"/>
    <x v="0"/>
    <x v="53"/>
    <x v="0"/>
    <n v="2"/>
    <n v="0"/>
    <n v="4"/>
    <n v="0"/>
    <n v="6"/>
    <n v="10"/>
    <n v="5"/>
    <n v="30"/>
    <n v="30"/>
    <n v="0"/>
    <x v="0"/>
    <x v="0"/>
  </r>
  <r>
    <x v="7"/>
    <x v="0"/>
    <x v="0"/>
    <x v="1"/>
    <x v="0"/>
    <x v="0"/>
    <x v="1"/>
    <x v="0"/>
    <x v="0"/>
    <x v="0"/>
    <x v="54"/>
    <x v="0"/>
    <n v="1"/>
    <n v="0"/>
    <n v="3"/>
    <n v="0"/>
    <n v="5"/>
    <n v="8"/>
    <n v="4"/>
    <n v="30"/>
    <n v="15"/>
    <n v="0"/>
    <x v="1"/>
    <x v="7"/>
  </r>
  <r>
    <x v="7"/>
    <x v="1"/>
    <x v="0"/>
    <x v="1"/>
    <x v="0"/>
    <x v="0"/>
    <x v="0"/>
    <x v="0"/>
    <x v="0"/>
    <x v="0"/>
    <x v="55"/>
    <x v="0"/>
    <n v="1"/>
    <n v="0"/>
    <n v="3"/>
    <n v="0"/>
    <n v="5"/>
    <n v="8"/>
    <n v="4"/>
    <n v="30"/>
    <n v="15"/>
    <n v="0"/>
    <x v="1"/>
    <x v="7"/>
  </r>
  <r>
    <x v="7"/>
    <x v="1"/>
    <x v="0"/>
    <x v="1"/>
    <x v="0"/>
    <x v="0"/>
    <x v="0"/>
    <x v="0"/>
    <x v="0"/>
    <x v="0"/>
    <x v="56"/>
    <x v="0"/>
    <n v="1"/>
    <n v="0"/>
    <n v="3"/>
    <n v="0"/>
    <n v="5"/>
    <n v="8"/>
    <n v="4"/>
    <n v="30"/>
    <n v="15"/>
    <n v="0"/>
    <x v="1"/>
    <x v="7"/>
  </r>
  <r>
    <x v="7"/>
    <x v="0"/>
    <x v="1"/>
    <x v="1"/>
    <x v="0"/>
    <x v="0"/>
    <x v="0"/>
    <x v="0"/>
    <x v="0"/>
    <x v="0"/>
    <x v="57"/>
    <x v="2"/>
    <n v="0"/>
    <n v="0"/>
    <n v="0"/>
    <n v="0"/>
    <n v="40"/>
    <n v="40"/>
    <n v="21"/>
    <n v="0"/>
    <n v="0"/>
    <n v="0"/>
    <x v="5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N70" firstHeaderRow="0" firstDataRow="1" firstDataCol="1" rowPageCount="9" colPageCount="1"/>
  <pivotFields count="24"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axis="axisPage" showAll="0">
      <items count="3">
        <item x="1"/>
        <item x="0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Page" multipleItemSelectionAllowed="1" showAll="0">
      <items count="3">
        <item x="0"/>
        <item x="1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Row" dataField="1" showAll="0">
      <items count="59">
        <item x="7"/>
        <item x="0"/>
        <item x="10"/>
        <item x="9"/>
        <item x="36"/>
        <item x="54"/>
        <item x="40"/>
        <item x="6"/>
        <item x="12"/>
        <item x="19"/>
        <item x="45"/>
        <item x="4"/>
        <item x="53"/>
        <item x="16"/>
        <item x="33"/>
        <item x="47"/>
        <item x="18"/>
        <item x="20"/>
        <item x="56"/>
        <item x="48"/>
        <item x="55"/>
        <item x="26"/>
        <item x="50"/>
        <item x="52"/>
        <item x="13"/>
        <item x="2"/>
        <item x="32"/>
        <item x="5"/>
        <item x="11"/>
        <item x="39"/>
        <item x="24"/>
        <item x="21"/>
        <item x="35"/>
        <item x="43"/>
        <item x="51"/>
        <item x="17"/>
        <item x="42"/>
        <item x="46"/>
        <item x="25"/>
        <item x="44"/>
        <item x="27"/>
        <item x="1"/>
        <item x="8"/>
        <item x="34"/>
        <item x="22"/>
        <item x="49"/>
        <item x="3"/>
        <item x="28"/>
        <item x="23"/>
        <item x="14"/>
        <item x="37"/>
        <item x="41"/>
        <item x="31"/>
        <item x="15"/>
        <item x="29"/>
        <item x="30"/>
        <item x="38"/>
        <item x="57"/>
        <item t="default"/>
      </items>
    </pivotField>
    <pivotField dataField="1" showAll="0">
      <items count="6">
        <item x="2"/>
        <item x="1"/>
        <item x="0"/>
        <item x="3"/>
        <item x="4"/>
        <item t="default"/>
      </items>
    </pivotField>
    <pivotField dataField="1" showAll="0"/>
    <pivotField dataField="1" showAll="0"/>
    <pivotField dataField="1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>
      <items count="7">
        <item x="5"/>
        <item x="2"/>
        <item x="1"/>
        <item x="0"/>
        <item x="3"/>
        <item x="4"/>
        <item t="default"/>
      </items>
    </pivotField>
    <pivotField dataField="1" showAll="0">
      <items count="13">
        <item x="9"/>
        <item x="8"/>
        <item x="4"/>
        <item x="2"/>
        <item x="1"/>
        <item x="7"/>
        <item x="3"/>
        <item x="0"/>
        <item x="5"/>
        <item x="6"/>
        <item x="10"/>
        <item x="11"/>
        <item t="default"/>
      </items>
    </pivotField>
  </pivotFields>
  <rowFields count="1">
    <field x="10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9">
    <pageField fld="1" hier="-1"/>
    <pageField fld="2" hier="-1"/>
    <pageField fld="3" hier="-1"/>
    <pageField fld="4" hier="-1"/>
    <pageField fld="5" hier="-1"/>
    <pageField fld="6" hier="-1"/>
    <pageField fld="7" hier="-1"/>
    <pageField fld="8" hier="-1"/>
    <pageField fld="9" hier="-1"/>
  </pageFields>
  <dataFields count="13">
    <dataField name="Count of Asignatura" fld="10" subtotal="count" baseField="10" baseItem="18"/>
    <dataField name="Sum of HT" fld="11" baseField="0" baseItem="0"/>
    <dataField name="Sum of HP" fld="12" baseField="0" baseItem="0"/>
    <dataField name="Sum of HL" fld="13" baseField="0" baseItem="0"/>
    <dataField name="Sum of HAD" fld="14" baseField="0" baseItem="0"/>
    <dataField name="Sum of HTI" fld="16" baseField="0" baseItem="0"/>
    <dataField name="Sum of TH " fld="17" baseField="0" baseItem="0"/>
    <dataField name="Sum of HTSEM" fld="19" baseField="0" baseItem="0"/>
    <dataField name="Sum of HPSEM" fld="20" baseField="0" baseItem="0"/>
    <dataField name="Sum of HLSEM" fld="21" baseField="0" baseItem="0"/>
    <dataField name="Sum of HADSEM" fld="22" baseField="0" baseItem="0"/>
    <dataField name="Sum of THSEM" fld="23" baseField="0" baseItem="0"/>
    <dataField name="Sum of UC" fld="18" baseField="0" baseItem="0"/>
  </dataFields>
  <formats count="14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10" type="button" dataOnly="0" labelOnly="1" outline="0" axis="axisRow" fieldPosition="0"/>
    </format>
    <format dxfId="10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">
      <pivotArea dataOnly="0" labelOnly="1" fieldPosition="0">
        <references count="1">
          <reference field="10" count="8"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0" type="button" dataOnly="0" labelOnly="1" outline="0" axis="axisRow" fieldPosition="0"/>
    </format>
    <format dxfId="3">
      <pivotArea dataOnly="0" labelOnly="1" fieldPosition="0">
        <references count="1">
          <reference field="1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">
      <pivotArea dataOnly="0" labelOnly="1" fieldPosition="0">
        <references count="1">
          <reference field="10" count="8">
            <x v="50"/>
            <x v="51"/>
            <x v="52"/>
            <x v="53"/>
            <x v="54"/>
            <x v="55"/>
            <x v="56"/>
            <x v="57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X60" totalsRowCount="1" headerRowDxfId="67" dataDxfId="65" totalsRowDxfId="63" headerRowBorderDxfId="66" tableBorderDxfId="64" totalsRowBorderDxfId="62">
  <autoFilter ref="A1:X59"/>
  <tableColumns count="24">
    <tableColumn id="1" name="SEM" totalsRowFunction="average" dataDxfId="61" totalsRowDxfId="60"/>
    <tableColumn id="2" name="EL" totalsRowFunction="sum" dataDxfId="59" totalsRowDxfId="58"/>
    <tableColumn id="3" name="PP" totalsRowFunction="sum" dataDxfId="57" totalsRowDxfId="56"/>
    <tableColumn id="4" name="FI" totalsRowFunction="sum" dataDxfId="55" totalsRowDxfId="54"/>
    <tableColumn id="5" name="MA" totalsRowFunction="sum" dataDxfId="53" totalsRowDxfId="52"/>
    <tableColumn id="6" name="CC" totalsRowFunction="sum" dataDxfId="51" totalsRowDxfId="50"/>
    <tableColumn id="7" name="IS" totalsRowFunction="sum" dataDxfId="49" totalsRowDxfId="48"/>
    <tableColumn id="8" name="TE" totalsRowFunction="sum" dataDxfId="47" totalsRowDxfId="46"/>
    <tableColumn id="9" name="FG" totalsRowFunction="sum" dataDxfId="45" totalsRowDxfId="44"/>
    <tableColumn id="10" name="IN" totalsRowFunction="sum" dataDxfId="43" totalsRowDxfId="42"/>
    <tableColumn id="11" name="Asignatura" dataDxfId="41" totalsRowDxfId="40"/>
    <tableColumn id="12" name="HT" totalsRowFunction="sum" dataDxfId="39" totalsRowDxfId="38"/>
    <tableColumn id="13" name="HP" totalsRowFunction="sum" dataDxfId="37" totalsRowDxfId="36"/>
    <tableColumn id="14" name="HL" totalsRowFunction="sum" dataDxfId="35" totalsRowDxfId="34"/>
    <tableColumn id="15" name="HAD" totalsRowFunction="sum" dataDxfId="33" totalsRowDxfId="32">
      <calculatedColumnFormula>SUM(L2:N2)</calculatedColumnFormula>
    </tableColumn>
    <tableColumn id="16" name="Pr" totalsRowFunction="sum" dataDxfId="31" totalsRowDxfId="30"/>
    <tableColumn id="17" name="HTI" totalsRowFunction="sum" dataDxfId="29" totalsRowDxfId="28"/>
    <tableColumn id="18" name="TH " totalsRowFunction="sum" dataDxfId="27" totalsRowDxfId="26">
      <calculatedColumnFormula>O2+Q2</calculatedColumnFormula>
    </tableColumn>
    <tableColumn id="19" name="UC" totalsRowFunction="sum" dataDxfId="25" totalsRowDxfId="24"/>
    <tableColumn id="20" name="HTSEM" totalsRowFunction="sum" dataDxfId="23" totalsRowDxfId="22">
      <calculatedColumnFormula>Table1[[#This Row],[HT]]*15</calculatedColumnFormula>
    </tableColumn>
    <tableColumn id="21" name="HPSEM" totalsRowFunction="sum" dataDxfId="21" totalsRowDxfId="20">
      <calculatedColumnFormula>Table1[[#This Row],[HP]]*15</calculatedColumnFormula>
    </tableColumn>
    <tableColumn id="22" name="HLSEM" totalsRowFunction="sum" dataDxfId="19" totalsRowDxfId="18">
      <calculatedColumnFormula>Table1[[#This Row],[HL]]*15</calculatedColumnFormula>
    </tableColumn>
    <tableColumn id="23" name="HADSEM" totalsRowFunction="sum" dataDxfId="17" totalsRowDxfId="16">
      <calculatedColumnFormula>Table1[[#This Row],[HAD]]*15</calculatedColumnFormula>
    </tableColumn>
    <tableColumn id="24" name="THSEM" totalsRowFunction="sum" dataDxfId="15" totalsRowDxfId="14">
      <calculatedColumnFormula>Table1[[#This Row],[TH ]]*15</calculatedColumnFormula>
    </tableColumn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UCAB - Ingeniería">
      <a:dk1>
        <a:srgbClr val="000000"/>
      </a:dk1>
      <a:lt1>
        <a:srgbClr val="FFFFFF"/>
      </a:lt1>
      <a:dk2>
        <a:srgbClr val="8CC63E"/>
      </a:dk2>
      <a:lt2>
        <a:srgbClr val="F5821F"/>
      </a:lt2>
      <a:accent1>
        <a:srgbClr val="3CB5E5"/>
      </a:accent1>
      <a:accent2>
        <a:srgbClr val="0D793D"/>
      </a:accent2>
      <a:accent3>
        <a:srgbClr val="FEC628"/>
      </a:accent3>
      <a:accent4>
        <a:srgbClr val="0071BB"/>
      </a:accent4>
      <a:accent5>
        <a:srgbClr val="015287"/>
      </a:accent5>
      <a:accent6>
        <a:srgbClr val="F5821F"/>
      </a:accent6>
      <a:hlink>
        <a:srgbClr val="0071BB"/>
      </a:hlink>
      <a:folHlink>
        <a:srgbClr val="015287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  <pageSetUpPr fitToPage="1"/>
  </sheetPr>
  <dimension ref="A1:S103"/>
  <sheetViews>
    <sheetView tabSelected="1" topLeftCell="A43" zoomScale="68" zoomScaleNormal="68" zoomScaleSheetLayoutView="93" zoomScalePageLayoutView="57" workbookViewId="0">
      <selection activeCell="K63" sqref="K63"/>
    </sheetView>
  </sheetViews>
  <sheetFormatPr baseColWidth="10" defaultColWidth="11.42578125" defaultRowHeight="23.25"/>
  <cols>
    <col min="1" max="1" width="14.28515625" style="70" customWidth="1"/>
    <col min="2" max="2" width="11.7109375" style="8" customWidth="1"/>
    <col min="3" max="3" width="68" style="8" bestFit="1" customWidth="1"/>
    <col min="4" max="4" width="7.7109375" style="8" customWidth="1"/>
    <col min="5" max="5" width="6.28515625" style="66" customWidth="1"/>
    <col min="6" max="6" width="6.5703125" style="8" customWidth="1"/>
    <col min="7" max="7" width="9.85546875" style="8" customWidth="1"/>
    <col min="8" max="8" width="6.7109375" style="8" customWidth="1"/>
    <col min="9" max="9" width="6.42578125" style="8" customWidth="1"/>
    <col min="10" max="11" width="6.42578125" style="66" customWidth="1"/>
    <col min="12" max="12" width="7.140625" style="59" customWidth="1"/>
    <col min="13" max="13" width="8.5703125" style="8" customWidth="1"/>
    <col min="14" max="14" width="9.5703125" style="16" bestFit="1" customWidth="1"/>
    <col min="15" max="15" width="100" style="50" bestFit="1" customWidth="1"/>
    <col min="16" max="16" width="9.7109375" style="8" customWidth="1"/>
    <col min="17" max="17" width="9.7109375" style="66" customWidth="1"/>
    <col min="18" max="18" width="9.7109375" style="8" customWidth="1"/>
    <col min="19" max="19" width="46.5703125" style="8" customWidth="1"/>
    <col min="20" max="16384" width="11.42578125" style="8"/>
  </cols>
  <sheetData>
    <row r="1" spans="1:19" ht="31.5">
      <c r="A1" s="213" t="s">
        <v>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5"/>
    </row>
    <row r="2" spans="1:19" ht="24.95" customHeight="1">
      <c r="A2" s="216" t="s">
        <v>1</v>
      </c>
      <c r="B2" s="217"/>
      <c r="C2" s="217"/>
      <c r="D2" s="218" t="s">
        <v>2</v>
      </c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9"/>
    </row>
    <row r="3" spans="1:19" ht="24.95" customHeight="1" thickBot="1">
      <c r="A3" s="220" t="s">
        <v>3</v>
      </c>
      <c r="B3" s="221"/>
      <c r="C3" s="221"/>
      <c r="D3" s="222" t="s">
        <v>4</v>
      </c>
      <c r="E3" s="222" t="s">
        <v>5</v>
      </c>
      <c r="F3" s="222"/>
      <c r="G3" s="222"/>
      <c r="H3" s="222"/>
      <c r="I3" s="222"/>
      <c r="J3" s="222"/>
      <c r="K3" s="222"/>
      <c r="L3" s="222"/>
      <c r="M3" s="222"/>
      <c r="N3" s="222"/>
      <c r="O3" s="222"/>
      <c r="P3" s="222"/>
      <c r="Q3" s="222"/>
      <c r="R3" s="222"/>
      <c r="S3" s="223"/>
    </row>
    <row r="4" spans="1:19" ht="24.95" customHeight="1">
      <c r="A4" s="227" t="s">
        <v>6</v>
      </c>
      <c r="B4" s="204" t="s">
        <v>7</v>
      </c>
      <c r="C4" s="202" t="s">
        <v>8</v>
      </c>
      <c r="D4" s="228" t="s">
        <v>9</v>
      </c>
      <c r="E4" s="225"/>
      <c r="F4" s="225"/>
      <c r="G4" s="204" t="s">
        <v>10</v>
      </c>
      <c r="H4" s="204" t="s">
        <v>11</v>
      </c>
      <c r="I4" s="225" t="s">
        <v>12</v>
      </c>
      <c r="J4" s="225" t="s">
        <v>13</v>
      </c>
      <c r="K4" s="202" t="s">
        <v>14</v>
      </c>
      <c r="L4" s="227" t="s">
        <v>15</v>
      </c>
      <c r="M4" s="204" t="s">
        <v>16</v>
      </c>
      <c r="N4" s="204" t="s">
        <v>17</v>
      </c>
      <c r="O4" s="204" t="s">
        <v>18</v>
      </c>
      <c r="P4" s="204" t="s">
        <v>19</v>
      </c>
      <c r="Q4" s="204" t="s">
        <v>20</v>
      </c>
      <c r="R4" s="204" t="s">
        <v>21</v>
      </c>
      <c r="S4" s="202" t="s">
        <v>22</v>
      </c>
    </row>
    <row r="5" spans="1:19" ht="24.95" customHeight="1">
      <c r="A5" s="209"/>
      <c r="B5" s="205"/>
      <c r="C5" s="203"/>
      <c r="D5" s="150" t="s">
        <v>23</v>
      </c>
      <c r="E5" s="123" t="s">
        <v>24</v>
      </c>
      <c r="F5" s="123" t="s">
        <v>25</v>
      </c>
      <c r="G5" s="205"/>
      <c r="H5" s="205"/>
      <c r="I5" s="226"/>
      <c r="J5" s="226"/>
      <c r="K5" s="203"/>
      <c r="L5" s="209"/>
      <c r="M5" s="205"/>
      <c r="N5" s="205"/>
      <c r="O5" s="205"/>
      <c r="P5" s="205"/>
      <c r="Q5" s="205"/>
      <c r="R5" s="205"/>
      <c r="S5" s="203"/>
    </row>
    <row r="6" spans="1:19" s="16" customFormat="1" ht="24.95" customHeight="1" thickBot="1">
      <c r="A6" s="210" t="s">
        <v>26</v>
      </c>
      <c r="B6" s="211"/>
      <c r="C6" s="212"/>
      <c r="D6" s="176">
        <f t="shared" ref="D6:K6" si="0">SUM(D7:D12)</f>
        <v>8</v>
      </c>
      <c r="E6" s="177">
        <f t="shared" si="0"/>
        <v>8</v>
      </c>
      <c r="F6" s="177">
        <f t="shared" si="0"/>
        <v>3</v>
      </c>
      <c r="G6" s="177">
        <f t="shared" si="0"/>
        <v>19</v>
      </c>
      <c r="H6" s="177">
        <f t="shared" si="0"/>
        <v>0</v>
      </c>
      <c r="I6" s="177">
        <f t="shared" si="0"/>
        <v>27</v>
      </c>
      <c r="J6" s="177">
        <f t="shared" si="0"/>
        <v>46</v>
      </c>
      <c r="K6" s="178">
        <f t="shared" si="0"/>
        <v>25</v>
      </c>
      <c r="L6" s="176"/>
      <c r="M6" s="177"/>
      <c r="N6" s="177"/>
      <c r="O6" s="179"/>
      <c r="P6" s="120"/>
      <c r="Q6" s="120"/>
      <c r="R6" s="120"/>
      <c r="S6" s="118"/>
    </row>
    <row r="7" spans="1:19" ht="23.1" customHeight="1">
      <c r="A7" s="161" t="s">
        <v>27</v>
      </c>
      <c r="B7" s="162" t="s">
        <v>237</v>
      </c>
      <c r="C7" s="163" t="s">
        <v>28</v>
      </c>
      <c r="D7" s="164">
        <v>2</v>
      </c>
      <c r="E7" s="165">
        <v>2</v>
      </c>
      <c r="F7" s="166">
        <v>0</v>
      </c>
      <c r="G7" s="167">
        <f>SUM(D7:F7)</f>
        <v>4</v>
      </c>
      <c r="H7" s="167">
        <v>0</v>
      </c>
      <c r="I7" s="167">
        <f>(D7*2)+(E7*1)+(F7*1)</f>
        <v>6</v>
      </c>
      <c r="J7" s="168">
        <f>G7+I7</f>
        <v>10</v>
      </c>
      <c r="K7" s="169">
        <f>ROUND((($D7*1.5)+$E7+$F7),0)</f>
        <v>5</v>
      </c>
      <c r="L7" s="170" t="s">
        <v>29</v>
      </c>
      <c r="M7" s="171" t="s">
        <v>30</v>
      </c>
      <c r="N7" s="172" t="s">
        <v>31</v>
      </c>
      <c r="O7" s="173" t="s">
        <v>32</v>
      </c>
      <c r="P7" s="166"/>
      <c r="Q7" s="173"/>
      <c r="R7" s="174" t="s">
        <v>33</v>
      </c>
      <c r="S7" s="175" t="s">
        <v>34</v>
      </c>
    </row>
    <row r="8" spans="1:19" ht="23.1" customHeight="1">
      <c r="A8" s="15" t="s">
        <v>35</v>
      </c>
      <c r="B8" s="10" t="s">
        <v>238</v>
      </c>
      <c r="C8" s="155" t="s">
        <v>36</v>
      </c>
      <c r="D8" s="42">
        <v>3</v>
      </c>
      <c r="E8" s="32">
        <v>0</v>
      </c>
      <c r="F8" s="33">
        <v>0</v>
      </c>
      <c r="G8" s="37">
        <f t="shared" ref="G8:G12" si="1">SUM(D8:F8)</f>
        <v>3</v>
      </c>
      <c r="H8" s="37">
        <v>0</v>
      </c>
      <c r="I8" s="37">
        <f t="shared" ref="I8:I12" si="2">(D8*2)+(E8*1)+(F8*1)</f>
        <v>6</v>
      </c>
      <c r="J8" s="38">
        <f t="shared" ref="J8:J12" si="3">G8+I8</f>
        <v>9</v>
      </c>
      <c r="K8" s="39">
        <f t="shared" ref="K8:K12" si="4">ROUND((($D8*1.5)+$E8+$F8),0)</f>
        <v>5</v>
      </c>
      <c r="L8" s="43" t="s">
        <v>29</v>
      </c>
      <c r="M8" s="34" t="s">
        <v>30</v>
      </c>
      <c r="N8" s="31" t="s">
        <v>37</v>
      </c>
      <c r="O8" s="127" t="s">
        <v>32</v>
      </c>
      <c r="P8" s="29"/>
      <c r="Q8" s="35" t="s">
        <v>33</v>
      </c>
      <c r="R8" s="36"/>
      <c r="S8" s="195" t="s">
        <v>230</v>
      </c>
    </row>
    <row r="9" spans="1:19" ht="23.1" customHeight="1">
      <c r="A9" s="15" t="s">
        <v>27</v>
      </c>
      <c r="B9" s="10" t="s">
        <v>239</v>
      </c>
      <c r="C9" s="154" t="s">
        <v>38</v>
      </c>
      <c r="D9" s="9">
        <v>1</v>
      </c>
      <c r="E9" s="12">
        <v>2</v>
      </c>
      <c r="F9" s="13">
        <v>0</v>
      </c>
      <c r="G9" s="37">
        <f t="shared" si="1"/>
        <v>3</v>
      </c>
      <c r="H9" s="37">
        <v>0</v>
      </c>
      <c r="I9" s="37">
        <f t="shared" si="2"/>
        <v>4</v>
      </c>
      <c r="J9" s="38">
        <f t="shared" si="3"/>
        <v>7</v>
      </c>
      <c r="K9" s="39">
        <f t="shared" si="4"/>
        <v>4</v>
      </c>
      <c r="L9" s="40" t="s">
        <v>29</v>
      </c>
      <c r="M9" s="7" t="s">
        <v>30</v>
      </c>
      <c r="N9" s="193" t="s">
        <v>39</v>
      </c>
      <c r="O9" s="11" t="s">
        <v>32</v>
      </c>
      <c r="P9" s="13"/>
      <c r="Q9" s="11"/>
      <c r="R9" s="35" t="s">
        <v>33</v>
      </c>
      <c r="S9" s="194" t="s">
        <v>231</v>
      </c>
    </row>
    <row r="10" spans="1:19" ht="23.1" customHeight="1">
      <c r="A10" s="15" t="s">
        <v>27</v>
      </c>
      <c r="B10" s="10" t="s">
        <v>240</v>
      </c>
      <c r="C10" s="156" t="s">
        <v>40</v>
      </c>
      <c r="D10" s="44">
        <v>0</v>
      </c>
      <c r="E10" s="30">
        <v>0</v>
      </c>
      <c r="F10" s="13">
        <v>3</v>
      </c>
      <c r="G10" s="37">
        <f t="shared" si="1"/>
        <v>3</v>
      </c>
      <c r="H10" s="37">
        <v>0</v>
      </c>
      <c r="I10" s="37">
        <f t="shared" si="2"/>
        <v>3</v>
      </c>
      <c r="J10" s="38">
        <f t="shared" si="3"/>
        <v>6</v>
      </c>
      <c r="K10" s="39">
        <f t="shared" si="4"/>
        <v>3</v>
      </c>
      <c r="L10" s="43" t="s">
        <v>41</v>
      </c>
      <c r="M10" s="31" t="s">
        <v>30</v>
      </c>
      <c r="N10" s="125" t="s">
        <v>39</v>
      </c>
      <c r="O10" s="11" t="s">
        <v>32</v>
      </c>
      <c r="P10" s="35"/>
      <c r="Q10" s="35"/>
      <c r="R10" s="35" t="s">
        <v>33</v>
      </c>
      <c r="S10" s="194" t="s">
        <v>232</v>
      </c>
    </row>
    <row r="11" spans="1:19" ht="23.1" customHeight="1">
      <c r="A11" s="15" t="s">
        <v>43</v>
      </c>
      <c r="B11" s="10" t="s">
        <v>241</v>
      </c>
      <c r="C11" s="154" t="s">
        <v>44</v>
      </c>
      <c r="D11" s="9">
        <v>1</v>
      </c>
      <c r="E11" s="12">
        <v>3</v>
      </c>
      <c r="F11" s="13">
        <v>0</v>
      </c>
      <c r="G11" s="37">
        <f t="shared" si="1"/>
        <v>4</v>
      </c>
      <c r="H11" s="37">
        <v>0</v>
      </c>
      <c r="I11" s="37">
        <f t="shared" si="2"/>
        <v>5</v>
      </c>
      <c r="J11" s="38">
        <f t="shared" si="3"/>
        <v>9</v>
      </c>
      <c r="K11" s="39">
        <f t="shared" si="4"/>
        <v>5</v>
      </c>
      <c r="L11" s="40" t="s">
        <v>29</v>
      </c>
      <c r="M11" s="7" t="s">
        <v>30</v>
      </c>
      <c r="N11" s="125" t="s">
        <v>45</v>
      </c>
      <c r="O11" s="11" t="s">
        <v>32</v>
      </c>
      <c r="P11" s="13" t="s">
        <v>33</v>
      </c>
      <c r="Q11" s="11"/>
      <c r="R11" s="35"/>
      <c r="S11" s="41" t="s">
        <v>46</v>
      </c>
    </row>
    <row r="12" spans="1:19" ht="23.1" customHeight="1">
      <c r="A12" s="15" t="s">
        <v>43</v>
      </c>
      <c r="B12" s="10" t="s">
        <v>242</v>
      </c>
      <c r="C12" s="154" t="s">
        <v>47</v>
      </c>
      <c r="D12" s="9">
        <v>1</v>
      </c>
      <c r="E12" s="12">
        <v>1</v>
      </c>
      <c r="F12" s="13">
        <v>0</v>
      </c>
      <c r="G12" s="37">
        <f t="shared" si="1"/>
        <v>2</v>
      </c>
      <c r="H12" s="37">
        <v>0</v>
      </c>
      <c r="I12" s="37">
        <f t="shared" si="2"/>
        <v>3</v>
      </c>
      <c r="J12" s="38">
        <f t="shared" si="3"/>
        <v>5</v>
      </c>
      <c r="K12" s="39">
        <f t="shared" si="4"/>
        <v>3</v>
      </c>
      <c r="L12" s="40" t="s">
        <v>29</v>
      </c>
      <c r="M12" s="7" t="s">
        <v>30</v>
      </c>
      <c r="N12" s="125" t="s">
        <v>37</v>
      </c>
      <c r="O12" s="11" t="s">
        <v>32</v>
      </c>
      <c r="P12" s="13" t="s">
        <v>33</v>
      </c>
      <c r="Q12" s="11"/>
      <c r="R12" s="35"/>
      <c r="S12" s="41" t="s">
        <v>46</v>
      </c>
    </row>
    <row r="13" spans="1:19" s="16" customFormat="1" ht="23.1" customHeight="1">
      <c r="A13" s="209" t="s">
        <v>48</v>
      </c>
      <c r="B13" s="205"/>
      <c r="C13" s="203"/>
      <c r="D13" s="151">
        <f>SUM(D14:D19)</f>
        <v>9</v>
      </c>
      <c r="E13" s="124">
        <f t="shared" ref="E13:K13" si="5">SUM(E14:E19)</f>
        <v>12</v>
      </c>
      <c r="F13" s="124">
        <f t="shared" si="5"/>
        <v>5</v>
      </c>
      <c r="G13" s="124">
        <f t="shared" si="5"/>
        <v>26</v>
      </c>
      <c r="H13" s="124">
        <f t="shared" si="5"/>
        <v>0</v>
      </c>
      <c r="I13" s="124">
        <f t="shared" si="5"/>
        <v>35</v>
      </c>
      <c r="J13" s="124">
        <f t="shared" si="5"/>
        <v>61</v>
      </c>
      <c r="K13" s="152">
        <f t="shared" si="5"/>
        <v>31</v>
      </c>
      <c r="L13" s="160"/>
      <c r="M13" s="128"/>
      <c r="N13" s="128"/>
      <c r="O13" s="129"/>
      <c r="P13" s="130"/>
      <c r="Q13" s="130"/>
      <c r="R13" s="130"/>
      <c r="S13" s="145"/>
    </row>
    <row r="14" spans="1:19" ht="23.1" customHeight="1">
      <c r="A14" s="15" t="s">
        <v>27</v>
      </c>
      <c r="B14" s="10" t="s">
        <v>245</v>
      </c>
      <c r="C14" s="154" t="s">
        <v>49</v>
      </c>
      <c r="D14" s="9">
        <v>2</v>
      </c>
      <c r="E14" s="12">
        <v>3</v>
      </c>
      <c r="F14" s="13">
        <v>0</v>
      </c>
      <c r="G14" s="13">
        <f t="shared" ref="G14:G19" si="6">SUM(D14:F14)</f>
        <v>5</v>
      </c>
      <c r="H14" s="13">
        <v>0</v>
      </c>
      <c r="I14" s="13">
        <f t="shared" ref="I14:I19" si="7">(D14*2)+(E14*1)+(F14*1)</f>
        <v>7</v>
      </c>
      <c r="J14" s="14">
        <f t="shared" ref="J14:J19" si="8">G14+I14</f>
        <v>12</v>
      </c>
      <c r="K14" s="49">
        <f>ROUND((($D14*1.5)+$E14+$F14),0)</f>
        <v>6</v>
      </c>
      <c r="L14" s="40" t="s">
        <v>29</v>
      </c>
      <c r="M14" s="7" t="s">
        <v>30</v>
      </c>
      <c r="N14" s="125" t="s">
        <v>31</v>
      </c>
      <c r="O14" s="11" t="s">
        <v>28</v>
      </c>
      <c r="P14" s="13"/>
      <c r="Q14" s="11"/>
      <c r="R14" s="35" t="s">
        <v>33</v>
      </c>
      <c r="S14" s="41" t="s">
        <v>34</v>
      </c>
    </row>
    <row r="15" spans="1:19" ht="23.1" customHeight="1">
      <c r="A15" s="15" t="s">
        <v>27</v>
      </c>
      <c r="B15" s="10" t="s">
        <v>246</v>
      </c>
      <c r="C15" s="154" t="s">
        <v>50</v>
      </c>
      <c r="D15" s="9">
        <v>2</v>
      </c>
      <c r="E15" s="12">
        <v>3</v>
      </c>
      <c r="F15" s="13">
        <v>0</v>
      </c>
      <c r="G15" s="13">
        <f t="shared" si="6"/>
        <v>5</v>
      </c>
      <c r="H15" s="13">
        <v>0</v>
      </c>
      <c r="I15" s="13">
        <f t="shared" si="7"/>
        <v>7</v>
      </c>
      <c r="J15" s="14">
        <f t="shared" si="8"/>
        <v>12</v>
      </c>
      <c r="K15" s="49">
        <f t="shared" ref="K15:K19" si="9">ROUND((($D15*1.5)+$E15+$F15),0)</f>
        <v>6</v>
      </c>
      <c r="L15" s="40" t="s">
        <v>29</v>
      </c>
      <c r="M15" s="7" t="s">
        <v>30</v>
      </c>
      <c r="N15" s="125" t="s">
        <v>31</v>
      </c>
      <c r="O15" s="11" t="s">
        <v>28</v>
      </c>
      <c r="P15" s="13"/>
      <c r="Q15" s="11"/>
      <c r="R15" s="35" t="s">
        <v>33</v>
      </c>
      <c r="S15" s="41" t="s">
        <v>34</v>
      </c>
    </row>
    <row r="16" spans="1:19" ht="23.1" customHeight="1">
      <c r="A16" s="15" t="s">
        <v>51</v>
      </c>
      <c r="B16" s="10" t="s">
        <v>247</v>
      </c>
      <c r="C16" s="154" t="s">
        <v>52</v>
      </c>
      <c r="D16" s="9">
        <v>2</v>
      </c>
      <c r="E16" s="12">
        <v>3</v>
      </c>
      <c r="F16" s="13">
        <v>0</v>
      </c>
      <c r="G16" s="13">
        <f t="shared" si="6"/>
        <v>5</v>
      </c>
      <c r="H16" s="13">
        <v>0</v>
      </c>
      <c r="I16" s="13">
        <f t="shared" si="7"/>
        <v>7</v>
      </c>
      <c r="J16" s="14">
        <f t="shared" si="8"/>
        <v>12</v>
      </c>
      <c r="K16" s="49">
        <f t="shared" si="9"/>
        <v>6</v>
      </c>
      <c r="L16" s="40" t="s">
        <v>29</v>
      </c>
      <c r="M16" s="7" t="s">
        <v>30</v>
      </c>
      <c r="N16" s="193" t="s">
        <v>39</v>
      </c>
      <c r="O16" s="11" t="s">
        <v>38</v>
      </c>
      <c r="P16" s="13"/>
      <c r="Q16" s="11"/>
      <c r="R16" s="35"/>
      <c r="S16" s="41"/>
    </row>
    <row r="17" spans="1:19" ht="23.1" customHeight="1">
      <c r="A17" s="15" t="s">
        <v>51</v>
      </c>
      <c r="B17" s="10" t="s">
        <v>246</v>
      </c>
      <c r="C17" s="154" t="s">
        <v>53</v>
      </c>
      <c r="D17" s="9">
        <v>0</v>
      </c>
      <c r="E17" s="12">
        <v>0</v>
      </c>
      <c r="F17" s="13">
        <v>3</v>
      </c>
      <c r="G17" s="13">
        <f t="shared" si="6"/>
        <v>3</v>
      </c>
      <c r="H17" s="13">
        <v>0</v>
      </c>
      <c r="I17" s="13">
        <f t="shared" si="7"/>
        <v>3</v>
      </c>
      <c r="J17" s="14">
        <f t="shared" si="8"/>
        <v>6</v>
      </c>
      <c r="K17" s="49">
        <f t="shared" si="9"/>
        <v>3</v>
      </c>
      <c r="L17" s="40" t="s">
        <v>41</v>
      </c>
      <c r="M17" s="7" t="s">
        <v>30</v>
      </c>
      <c r="N17" s="125" t="s">
        <v>42</v>
      </c>
      <c r="O17" s="11" t="s">
        <v>40</v>
      </c>
      <c r="P17" s="13"/>
      <c r="Q17" s="11"/>
      <c r="R17" s="35"/>
      <c r="S17" s="41"/>
    </row>
    <row r="18" spans="1:19" ht="23.1" customHeight="1">
      <c r="A18" s="15" t="s">
        <v>51</v>
      </c>
      <c r="B18" s="10" t="s">
        <v>237</v>
      </c>
      <c r="C18" s="154" t="s">
        <v>54</v>
      </c>
      <c r="D18" s="9">
        <v>2</v>
      </c>
      <c r="E18" s="12">
        <v>2</v>
      </c>
      <c r="F18" s="13">
        <v>2</v>
      </c>
      <c r="G18" s="13">
        <f t="shared" si="6"/>
        <v>6</v>
      </c>
      <c r="H18" s="13">
        <v>0</v>
      </c>
      <c r="I18" s="13">
        <f t="shared" si="7"/>
        <v>8</v>
      </c>
      <c r="J18" s="14">
        <f t="shared" si="8"/>
        <v>14</v>
      </c>
      <c r="K18" s="49">
        <f t="shared" si="9"/>
        <v>7</v>
      </c>
      <c r="L18" s="40" t="s">
        <v>41</v>
      </c>
      <c r="M18" s="7" t="s">
        <v>30</v>
      </c>
      <c r="N18" s="125" t="s">
        <v>42</v>
      </c>
      <c r="O18" s="11" t="s">
        <v>55</v>
      </c>
      <c r="P18" s="13"/>
      <c r="Q18" s="11"/>
      <c r="R18" s="35"/>
      <c r="S18" s="41"/>
    </row>
    <row r="19" spans="1:19" ht="23.1" customHeight="1">
      <c r="A19" s="15" t="s">
        <v>43</v>
      </c>
      <c r="B19" s="10" t="s">
        <v>248</v>
      </c>
      <c r="C19" s="154" t="s">
        <v>56</v>
      </c>
      <c r="D19" s="9">
        <v>1</v>
      </c>
      <c r="E19" s="12">
        <v>1</v>
      </c>
      <c r="F19" s="13">
        <v>0</v>
      </c>
      <c r="G19" s="13">
        <f t="shared" si="6"/>
        <v>2</v>
      </c>
      <c r="H19" s="13">
        <v>0</v>
      </c>
      <c r="I19" s="13">
        <f t="shared" si="7"/>
        <v>3</v>
      </c>
      <c r="J19" s="14">
        <f t="shared" si="8"/>
        <v>5</v>
      </c>
      <c r="K19" s="49">
        <f t="shared" si="9"/>
        <v>3</v>
      </c>
      <c r="L19" s="40" t="s">
        <v>29</v>
      </c>
      <c r="M19" s="7" t="s">
        <v>30</v>
      </c>
      <c r="N19" s="125" t="s">
        <v>37</v>
      </c>
      <c r="O19" s="11" t="s">
        <v>47</v>
      </c>
      <c r="P19" s="13" t="s">
        <v>33</v>
      </c>
      <c r="Q19" s="11"/>
      <c r="R19" s="35"/>
      <c r="S19" s="41" t="s">
        <v>46</v>
      </c>
    </row>
    <row r="20" spans="1:19" s="16" customFormat="1" ht="23.1" customHeight="1">
      <c r="A20" s="209" t="s">
        <v>57</v>
      </c>
      <c r="B20" s="205"/>
      <c r="C20" s="203"/>
      <c r="D20" s="151">
        <f>SUM(D21:D27)</f>
        <v>12</v>
      </c>
      <c r="E20" s="124">
        <f t="shared" ref="E20:K20" si="10">SUM(E21:E27)</f>
        <v>12</v>
      </c>
      <c r="F20" s="124">
        <f t="shared" si="10"/>
        <v>2</v>
      </c>
      <c r="G20" s="124">
        <f t="shared" si="10"/>
        <v>26</v>
      </c>
      <c r="H20" s="124">
        <f t="shared" si="10"/>
        <v>0</v>
      </c>
      <c r="I20" s="124">
        <f t="shared" si="10"/>
        <v>38</v>
      </c>
      <c r="J20" s="124">
        <f t="shared" si="10"/>
        <v>64</v>
      </c>
      <c r="K20" s="152">
        <f t="shared" si="10"/>
        <v>33</v>
      </c>
      <c r="L20" s="160"/>
      <c r="M20" s="128"/>
      <c r="N20" s="128"/>
      <c r="O20" s="129"/>
      <c r="P20" s="130"/>
      <c r="Q20" s="130"/>
      <c r="R20" s="130"/>
      <c r="S20" s="145"/>
    </row>
    <row r="21" spans="1:19" ht="23.1" customHeight="1">
      <c r="A21" s="15" t="s">
        <v>27</v>
      </c>
      <c r="B21" s="10" t="s">
        <v>249</v>
      </c>
      <c r="C21" s="154" t="s">
        <v>58</v>
      </c>
      <c r="D21" s="9">
        <v>2</v>
      </c>
      <c r="E21" s="12">
        <v>2</v>
      </c>
      <c r="F21" s="13">
        <v>0</v>
      </c>
      <c r="G21" s="13">
        <f t="shared" ref="G21:G27" si="11">SUM(D21:F21)</f>
        <v>4</v>
      </c>
      <c r="H21" s="13">
        <v>0</v>
      </c>
      <c r="I21" s="13">
        <f t="shared" ref="I21:I27" si="12">(D21*2)+(E21*1)+(F21*1)</f>
        <v>6</v>
      </c>
      <c r="J21" s="14">
        <f t="shared" ref="J21:J26" si="13">G21+I21</f>
        <v>10</v>
      </c>
      <c r="K21" s="49">
        <f>ROUND((($D21*1.5)+$E21+$F21),0)</f>
        <v>5</v>
      </c>
      <c r="L21" s="40" t="s">
        <v>29</v>
      </c>
      <c r="M21" s="7" t="s">
        <v>30</v>
      </c>
      <c r="N21" s="125" t="s">
        <v>31</v>
      </c>
      <c r="O21" s="11" t="s">
        <v>49</v>
      </c>
      <c r="P21" s="13"/>
      <c r="Q21" s="11"/>
      <c r="R21" s="35" t="s">
        <v>33</v>
      </c>
      <c r="S21" s="41" t="s">
        <v>34</v>
      </c>
    </row>
    <row r="22" spans="1:19" ht="23.1" customHeight="1">
      <c r="A22" s="15" t="s">
        <v>27</v>
      </c>
      <c r="B22" s="10" t="s">
        <v>250</v>
      </c>
      <c r="C22" s="154" t="s">
        <v>59</v>
      </c>
      <c r="D22" s="9">
        <v>2</v>
      </c>
      <c r="E22" s="12">
        <v>3</v>
      </c>
      <c r="F22" s="13">
        <v>0</v>
      </c>
      <c r="G22" s="13">
        <f t="shared" si="11"/>
        <v>5</v>
      </c>
      <c r="H22" s="13">
        <v>0</v>
      </c>
      <c r="I22" s="13">
        <f t="shared" si="12"/>
        <v>7</v>
      </c>
      <c r="J22" s="14">
        <f t="shared" si="13"/>
        <v>12</v>
      </c>
      <c r="K22" s="49">
        <f t="shared" ref="K22:K27" si="14">ROUND((($D22*1.5)+$E22+$F22),0)</f>
        <v>6</v>
      </c>
      <c r="L22" s="40" t="s">
        <v>29</v>
      </c>
      <c r="M22" s="7" t="s">
        <v>30</v>
      </c>
      <c r="N22" s="125" t="s">
        <v>31</v>
      </c>
      <c r="O22" s="11" t="s">
        <v>49</v>
      </c>
      <c r="P22" s="13"/>
      <c r="Q22" s="11"/>
      <c r="R22" s="35" t="s">
        <v>33</v>
      </c>
      <c r="S22" s="41" t="s">
        <v>34</v>
      </c>
    </row>
    <row r="23" spans="1:19" ht="23.1" customHeight="1">
      <c r="A23" s="15" t="s">
        <v>43</v>
      </c>
      <c r="B23" s="10" t="s">
        <v>251</v>
      </c>
      <c r="C23" s="154" t="s">
        <v>60</v>
      </c>
      <c r="D23" s="9">
        <v>1</v>
      </c>
      <c r="E23" s="12">
        <v>1</v>
      </c>
      <c r="F23" s="13">
        <v>0</v>
      </c>
      <c r="G23" s="37">
        <f>SUM(D23:F23)</f>
        <v>2</v>
      </c>
      <c r="H23" s="37">
        <v>0</v>
      </c>
      <c r="I23" s="37">
        <f>(D23*2)+(E23*1)+(F23*1)</f>
        <v>3</v>
      </c>
      <c r="J23" s="38">
        <f>G23+I23</f>
        <v>5</v>
      </c>
      <c r="K23" s="39">
        <f>ROUND((($D23*1.5)+$E23+$F23),0)</f>
        <v>3</v>
      </c>
      <c r="L23" s="40" t="s">
        <v>29</v>
      </c>
      <c r="M23" s="7" t="s">
        <v>30</v>
      </c>
      <c r="N23" s="125" t="s">
        <v>37</v>
      </c>
      <c r="O23" s="11" t="s">
        <v>61</v>
      </c>
      <c r="P23" s="13" t="s">
        <v>33</v>
      </c>
      <c r="Q23" s="11"/>
      <c r="R23" s="35"/>
      <c r="S23" s="41" t="s">
        <v>46</v>
      </c>
    </row>
    <row r="24" spans="1:19" ht="23.1" customHeight="1">
      <c r="A24" s="15" t="s">
        <v>51</v>
      </c>
      <c r="B24" s="10" t="s">
        <v>245</v>
      </c>
      <c r="C24" s="154" t="s">
        <v>62</v>
      </c>
      <c r="D24" s="9">
        <v>2</v>
      </c>
      <c r="E24" s="12">
        <v>2</v>
      </c>
      <c r="F24" s="13">
        <v>2</v>
      </c>
      <c r="G24" s="13">
        <f t="shared" si="11"/>
        <v>6</v>
      </c>
      <c r="H24" s="13">
        <v>0</v>
      </c>
      <c r="I24" s="13">
        <f t="shared" si="12"/>
        <v>8</v>
      </c>
      <c r="J24" s="14">
        <f t="shared" si="13"/>
        <v>14</v>
      </c>
      <c r="K24" s="49">
        <f t="shared" si="14"/>
        <v>7</v>
      </c>
      <c r="L24" s="40" t="s">
        <v>41</v>
      </c>
      <c r="M24" s="7" t="s">
        <v>30</v>
      </c>
      <c r="N24" s="125" t="s">
        <v>42</v>
      </c>
      <c r="O24" s="11" t="s">
        <v>63</v>
      </c>
      <c r="P24" s="13"/>
      <c r="Q24" s="11"/>
      <c r="R24" s="35"/>
      <c r="S24" s="41"/>
    </row>
    <row r="25" spans="1:19" ht="23.1" customHeight="1">
      <c r="A25" s="15" t="s">
        <v>64</v>
      </c>
      <c r="B25" s="10" t="s">
        <v>252</v>
      </c>
      <c r="C25" s="154" t="s">
        <v>65</v>
      </c>
      <c r="D25" s="9">
        <v>2</v>
      </c>
      <c r="E25" s="12">
        <v>2</v>
      </c>
      <c r="F25" s="13">
        <v>0</v>
      </c>
      <c r="G25" s="13">
        <f>SUM(D25:F25)</f>
        <v>4</v>
      </c>
      <c r="H25" s="13">
        <v>0</v>
      </c>
      <c r="I25" s="13">
        <f>(D25*2)+(E25*1)+(F25*1)</f>
        <v>6</v>
      </c>
      <c r="J25" s="14">
        <f>G25+I25</f>
        <v>10</v>
      </c>
      <c r="K25" s="49">
        <f>ROUND((($D25*1.5)+$E25+$F25),0)</f>
        <v>5</v>
      </c>
      <c r="L25" s="40" t="s">
        <v>29</v>
      </c>
      <c r="M25" s="7" t="s">
        <v>30</v>
      </c>
      <c r="N25" s="125" t="s">
        <v>66</v>
      </c>
      <c r="O25" s="11" t="s">
        <v>67</v>
      </c>
      <c r="P25" s="13"/>
      <c r="Q25" s="13" t="s">
        <v>33</v>
      </c>
      <c r="R25" s="35"/>
      <c r="S25" s="41" t="s">
        <v>68</v>
      </c>
    </row>
    <row r="26" spans="1:19" ht="23.1" customHeight="1">
      <c r="A26" s="15" t="s">
        <v>51</v>
      </c>
      <c r="B26" s="10" t="s">
        <v>249</v>
      </c>
      <c r="C26" s="154" t="s">
        <v>69</v>
      </c>
      <c r="D26" s="9">
        <v>2</v>
      </c>
      <c r="E26" s="12">
        <v>1</v>
      </c>
      <c r="F26" s="13">
        <v>0</v>
      </c>
      <c r="G26" s="13">
        <f t="shared" si="11"/>
        <v>3</v>
      </c>
      <c r="H26" s="13">
        <v>0</v>
      </c>
      <c r="I26" s="13">
        <f t="shared" si="12"/>
        <v>5</v>
      </c>
      <c r="J26" s="14">
        <f t="shared" si="13"/>
        <v>8</v>
      </c>
      <c r="K26" s="49">
        <f t="shared" si="14"/>
        <v>4</v>
      </c>
      <c r="L26" s="40" t="s">
        <v>70</v>
      </c>
      <c r="M26" s="7" t="s">
        <v>30</v>
      </c>
      <c r="N26" s="125" t="s">
        <v>39</v>
      </c>
      <c r="O26" s="11" t="s">
        <v>67</v>
      </c>
      <c r="P26" s="13"/>
      <c r="Q26" s="11"/>
      <c r="R26" s="35"/>
      <c r="S26" s="41"/>
    </row>
    <row r="27" spans="1:19" ht="23.1" customHeight="1">
      <c r="A27" s="9" t="s">
        <v>43</v>
      </c>
      <c r="B27" s="10" t="s">
        <v>253</v>
      </c>
      <c r="C27" s="154" t="s">
        <v>71</v>
      </c>
      <c r="D27" s="9">
        <v>1</v>
      </c>
      <c r="E27" s="12">
        <v>1</v>
      </c>
      <c r="F27" s="13">
        <v>0</v>
      </c>
      <c r="G27" s="13">
        <f t="shared" si="11"/>
        <v>2</v>
      </c>
      <c r="H27" s="13">
        <v>0</v>
      </c>
      <c r="I27" s="13">
        <f t="shared" si="12"/>
        <v>3</v>
      </c>
      <c r="J27" s="14">
        <f>G27+I27</f>
        <v>5</v>
      </c>
      <c r="K27" s="49">
        <f t="shared" si="14"/>
        <v>3</v>
      </c>
      <c r="L27" s="40" t="s">
        <v>29</v>
      </c>
      <c r="M27" s="7" t="s">
        <v>72</v>
      </c>
      <c r="N27" s="125" t="s">
        <v>37</v>
      </c>
      <c r="O27" s="11" t="s">
        <v>67</v>
      </c>
      <c r="P27" s="13" t="s">
        <v>33</v>
      </c>
      <c r="Q27" s="11"/>
      <c r="R27" s="35"/>
      <c r="S27" s="41" t="s">
        <v>46</v>
      </c>
    </row>
    <row r="28" spans="1:19" s="16" customFormat="1" ht="23.1" customHeight="1">
      <c r="A28" s="209" t="s">
        <v>73</v>
      </c>
      <c r="B28" s="205"/>
      <c r="C28" s="203"/>
      <c r="D28" s="151">
        <f>SUM(D29:D35)</f>
        <v>12</v>
      </c>
      <c r="E28" s="124">
        <f t="shared" ref="E28:K28" si="15">SUM(E29:E35)</f>
        <v>10</v>
      </c>
      <c r="F28" s="124">
        <f t="shared" si="15"/>
        <v>3</v>
      </c>
      <c r="G28" s="124">
        <f t="shared" si="15"/>
        <v>25</v>
      </c>
      <c r="H28" s="124">
        <f t="shared" si="15"/>
        <v>0</v>
      </c>
      <c r="I28" s="124">
        <f t="shared" si="15"/>
        <v>37</v>
      </c>
      <c r="J28" s="124">
        <f t="shared" si="15"/>
        <v>62</v>
      </c>
      <c r="K28" s="152">
        <f t="shared" si="15"/>
        <v>31</v>
      </c>
      <c r="L28" s="160"/>
      <c r="M28" s="128"/>
      <c r="N28" s="128"/>
      <c r="O28" s="129"/>
      <c r="P28" s="130"/>
      <c r="Q28" s="130"/>
      <c r="R28" s="130"/>
      <c r="S28" s="145"/>
    </row>
    <row r="29" spans="1:19" ht="23.1" customHeight="1">
      <c r="A29" s="15" t="s">
        <v>27</v>
      </c>
      <c r="B29" s="10" t="s">
        <v>254</v>
      </c>
      <c r="C29" s="154" t="s">
        <v>74</v>
      </c>
      <c r="D29" s="9">
        <v>2</v>
      </c>
      <c r="E29" s="12">
        <v>2</v>
      </c>
      <c r="F29" s="13">
        <v>0</v>
      </c>
      <c r="G29" s="13">
        <f t="shared" ref="G29:G34" si="16">SUM(D29:F29)</f>
        <v>4</v>
      </c>
      <c r="H29" s="13">
        <v>0</v>
      </c>
      <c r="I29" s="13">
        <f t="shared" ref="I29:I34" si="17">(D29*2)+(E29*1)+(F29*1)</f>
        <v>6</v>
      </c>
      <c r="J29" s="14">
        <f t="shared" ref="J29:J34" si="18">G29+I29</f>
        <v>10</v>
      </c>
      <c r="K29" s="49">
        <f>ROUND((($D29*1.5)+$E29+$F29),0)</f>
        <v>5</v>
      </c>
      <c r="L29" s="40" t="s">
        <v>29</v>
      </c>
      <c r="M29" s="7" t="s">
        <v>30</v>
      </c>
      <c r="N29" s="125" t="s">
        <v>31</v>
      </c>
      <c r="O29" s="11" t="s">
        <v>58</v>
      </c>
      <c r="P29" s="13"/>
      <c r="Q29" s="11"/>
      <c r="R29" s="35" t="s">
        <v>33</v>
      </c>
      <c r="S29" s="41" t="s">
        <v>75</v>
      </c>
    </row>
    <row r="30" spans="1:19" ht="23.1" customHeight="1">
      <c r="A30" s="15" t="s">
        <v>27</v>
      </c>
      <c r="B30" s="10" t="s">
        <v>255</v>
      </c>
      <c r="C30" s="154" t="s">
        <v>76</v>
      </c>
      <c r="D30" s="9">
        <v>2</v>
      </c>
      <c r="E30" s="12">
        <v>1</v>
      </c>
      <c r="F30" s="13">
        <v>0</v>
      </c>
      <c r="G30" s="13">
        <f t="shared" si="16"/>
        <v>3</v>
      </c>
      <c r="H30" s="13">
        <v>0</v>
      </c>
      <c r="I30" s="13">
        <f t="shared" si="17"/>
        <v>5</v>
      </c>
      <c r="J30" s="14">
        <f t="shared" si="18"/>
        <v>8</v>
      </c>
      <c r="K30" s="49">
        <f t="shared" ref="K30:K35" si="19">ROUND((($D30*1.5)+$E30+$F30),0)</f>
        <v>4</v>
      </c>
      <c r="L30" s="40" t="s">
        <v>29</v>
      </c>
      <c r="M30" s="7" t="s">
        <v>30</v>
      </c>
      <c r="N30" s="125" t="s">
        <v>31</v>
      </c>
      <c r="O30" s="11" t="s">
        <v>58</v>
      </c>
      <c r="P30" s="13"/>
      <c r="Q30" s="11"/>
      <c r="R30" s="35" t="s">
        <v>33</v>
      </c>
      <c r="S30" s="41" t="s">
        <v>77</v>
      </c>
    </row>
    <row r="31" spans="1:19" ht="23.1" customHeight="1">
      <c r="A31" s="15" t="s">
        <v>27</v>
      </c>
      <c r="B31" s="10" t="s">
        <v>256</v>
      </c>
      <c r="C31" s="154" t="s">
        <v>78</v>
      </c>
      <c r="D31" s="9">
        <v>2</v>
      </c>
      <c r="E31" s="12">
        <v>1</v>
      </c>
      <c r="F31" s="13">
        <v>0</v>
      </c>
      <c r="G31" s="13">
        <f t="shared" si="16"/>
        <v>3</v>
      </c>
      <c r="H31" s="13">
        <v>0</v>
      </c>
      <c r="I31" s="13">
        <f t="shared" si="17"/>
        <v>5</v>
      </c>
      <c r="J31" s="14">
        <f t="shared" si="18"/>
        <v>8</v>
      </c>
      <c r="K31" s="49">
        <f t="shared" si="19"/>
        <v>4</v>
      </c>
      <c r="L31" s="40" t="s">
        <v>29</v>
      </c>
      <c r="M31" s="7" t="s">
        <v>79</v>
      </c>
      <c r="N31" s="125" t="s">
        <v>31</v>
      </c>
      <c r="O31" s="11" t="s">
        <v>65</v>
      </c>
      <c r="P31" s="13"/>
      <c r="Q31" s="11"/>
      <c r="R31" s="35" t="s">
        <v>33</v>
      </c>
      <c r="S31" s="41" t="s">
        <v>80</v>
      </c>
    </row>
    <row r="32" spans="1:19" ht="23.1" customHeight="1">
      <c r="A32" s="15" t="s">
        <v>51</v>
      </c>
      <c r="B32" s="10" t="s">
        <v>254</v>
      </c>
      <c r="C32" s="154" t="s">
        <v>81</v>
      </c>
      <c r="D32" s="9">
        <v>2</v>
      </c>
      <c r="E32" s="12">
        <v>2</v>
      </c>
      <c r="F32" s="13">
        <v>0</v>
      </c>
      <c r="G32" s="13">
        <f t="shared" si="16"/>
        <v>4</v>
      </c>
      <c r="H32" s="13">
        <v>0</v>
      </c>
      <c r="I32" s="13">
        <f t="shared" si="17"/>
        <v>6</v>
      </c>
      <c r="J32" s="14">
        <f t="shared" si="18"/>
        <v>10</v>
      </c>
      <c r="K32" s="49">
        <f t="shared" si="19"/>
        <v>5</v>
      </c>
      <c r="L32" s="40" t="s">
        <v>70</v>
      </c>
      <c r="M32" s="7" t="s">
        <v>30</v>
      </c>
      <c r="N32" s="125" t="s">
        <v>39</v>
      </c>
      <c r="O32" s="11" t="s">
        <v>52</v>
      </c>
      <c r="P32" s="13"/>
      <c r="Q32" s="11"/>
      <c r="R32" s="35"/>
      <c r="S32" s="41"/>
    </row>
    <row r="33" spans="1:19" ht="23.1" customHeight="1">
      <c r="A33" s="15" t="s">
        <v>51</v>
      </c>
      <c r="B33" s="10" t="s">
        <v>255</v>
      </c>
      <c r="C33" s="154" t="s">
        <v>82</v>
      </c>
      <c r="D33" s="9">
        <v>0</v>
      </c>
      <c r="E33" s="12">
        <v>0</v>
      </c>
      <c r="F33" s="13">
        <v>3</v>
      </c>
      <c r="G33" s="13">
        <f t="shared" si="16"/>
        <v>3</v>
      </c>
      <c r="H33" s="13">
        <v>0</v>
      </c>
      <c r="I33" s="13">
        <f t="shared" si="17"/>
        <v>3</v>
      </c>
      <c r="J33" s="14">
        <f t="shared" si="18"/>
        <v>6</v>
      </c>
      <c r="K33" s="49">
        <f t="shared" si="19"/>
        <v>3</v>
      </c>
      <c r="L33" s="40" t="s">
        <v>41</v>
      </c>
      <c r="M33" s="7" t="s">
        <v>30</v>
      </c>
      <c r="N33" s="125" t="s">
        <v>42</v>
      </c>
      <c r="O33" s="11" t="s">
        <v>62</v>
      </c>
      <c r="P33" s="13"/>
      <c r="Q33" s="11"/>
      <c r="R33" s="35"/>
      <c r="S33" s="41"/>
    </row>
    <row r="34" spans="1:19" ht="23.1" customHeight="1">
      <c r="A34" s="15" t="s">
        <v>51</v>
      </c>
      <c r="B34" s="10" t="s">
        <v>257</v>
      </c>
      <c r="C34" s="154" t="s">
        <v>83</v>
      </c>
      <c r="D34" s="9">
        <v>2</v>
      </c>
      <c r="E34" s="12">
        <v>2</v>
      </c>
      <c r="F34" s="13">
        <v>0</v>
      </c>
      <c r="G34" s="13">
        <f t="shared" si="16"/>
        <v>4</v>
      </c>
      <c r="H34" s="13">
        <v>0</v>
      </c>
      <c r="I34" s="13">
        <f t="shared" si="17"/>
        <v>6</v>
      </c>
      <c r="J34" s="14">
        <f t="shared" si="18"/>
        <v>10</v>
      </c>
      <c r="K34" s="49">
        <f t="shared" si="19"/>
        <v>5</v>
      </c>
      <c r="L34" s="40" t="s">
        <v>70</v>
      </c>
      <c r="M34" s="7" t="s">
        <v>30</v>
      </c>
      <c r="N34" s="125" t="s">
        <v>39</v>
      </c>
      <c r="O34" s="11" t="s">
        <v>69</v>
      </c>
      <c r="P34" s="13"/>
      <c r="Q34" s="11"/>
      <c r="R34" s="35"/>
      <c r="S34" s="41"/>
    </row>
    <row r="35" spans="1:19" ht="23.1" customHeight="1">
      <c r="A35" s="15" t="s">
        <v>51</v>
      </c>
      <c r="B35" s="10" t="s">
        <v>240</v>
      </c>
      <c r="C35" s="154" t="s">
        <v>84</v>
      </c>
      <c r="D35" s="9">
        <v>2</v>
      </c>
      <c r="E35" s="12">
        <v>2</v>
      </c>
      <c r="F35" s="13">
        <v>0</v>
      </c>
      <c r="G35" s="13">
        <f t="shared" ref="G35" si="20">SUM(D35:F35)</f>
        <v>4</v>
      </c>
      <c r="H35" s="13">
        <v>0</v>
      </c>
      <c r="I35" s="13">
        <f t="shared" ref="I35" si="21">(D35*2)+(E35*1)+(F35*1)</f>
        <v>6</v>
      </c>
      <c r="J35" s="14">
        <f t="shared" ref="J35" si="22">G35+I35</f>
        <v>10</v>
      </c>
      <c r="K35" s="49">
        <f t="shared" si="19"/>
        <v>5</v>
      </c>
      <c r="L35" s="40" t="s">
        <v>70</v>
      </c>
      <c r="M35" s="7" t="s">
        <v>30</v>
      </c>
      <c r="N35" s="125" t="s">
        <v>39</v>
      </c>
      <c r="O35" s="11" t="s">
        <v>85</v>
      </c>
      <c r="P35" s="13"/>
      <c r="Q35" s="11"/>
      <c r="R35" s="35"/>
      <c r="S35" s="41"/>
    </row>
    <row r="36" spans="1:19" s="16" customFormat="1" ht="23.1" customHeight="1">
      <c r="A36" s="209" t="s">
        <v>86</v>
      </c>
      <c r="B36" s="205"/>
      <c r="C36" s="203"/>
      <c r="D36" s="151">
        <f>SUM(D37:D43)</f>
        <v>10</v>
      </c>
      <c r="E36" s="124">
        <f t="shared" ref="E36:K36" si="23">SUM(E37:E43)</f>
        <v>11</v>
      </c>
      <c r="F36" s="124">
        <f t="shared" si="23"/>
        <v>5</v>
      </c>
      <c r="G36" s="124">
        <f>SUM(G37:G43)</f>
        <v>26</v>
      </c>
      <c r="H36" s="124">
        <f t="shared" si="23"/>
        <v>0</v>
      </c>
      <c r="I36" s="124">
        <f t="shared" si="23"/>
        <v>36</v>
      </c>
      <c r="J36" s="124">
        <f t="shared" si="23"/>
        <v>62</v>
      </c>
      <c r="K36" s="152">
        <f t="shared" si="23"/>
        <v>31</v>
      </c>
      <c r="L36" s="160"/>
      <c r="M36" s="128"/>
      <c r="N36" s="128"/>
      <c r="O36" s="129"/>
      <c r="P36" s="130"/>
      <c r="Q36" s="130"/>
      <c r="R36" s="130"/>
      <c r="S36" s="145"/>
    </row>
    <row r="37" spans="1:19" ht="23.1" customHeight="1">
      <c r="A37" s="15" t="s">
        <v>27</v>
      </c>
      <c r="B37" s="10" t="s">
        <v>257</v>
      </c>
      <c r="C37" s="154" t="s">
        <v>87</v>
      </c>
      <c r="D37" s="9">
        <v>2</v>
      </c>
      <c r="E37" s="12">
        <v>3</v>
      </c>
      <c r="F37" s="13">
        <v>0</v>
      </c>
      <c r="G37" s="13">
        <f t="shared" ref="G37:G43" si="24">SUM(D37:F37)</f>
        <v>5</v>
      </c>
      <c r="H37" s="13">
        <v>0</v>
      </c>
      <c r="I37" s="13">
        <f t="shared" ref="I37:I43" si="25">(D37*2)+(E37*1)+(F37*1)</f>
        <v>7</v>
      </c>
      <c r="J37" s="14">
        <f t="shared" ref="J37:J43" si="26">G37+I37</f>
        <v>12</v>
      </c>
      <c r="K37" s="49">
        <f>ROUND((($D37*1.5)+$E37+$F37),0)</f>
        <v>6</v>
      </c>
      <c r="L37" s="40" t="s">
        <v>29</v>
      </c>
      <c r="M37" s="7" t="s">
        <v>30</v>
      </c>
      <c r="N37" s="125" t="s">
        <v>31</v>
      </c>
      <c r="O37" s="11" t="s">
        <v>59</v>
      </c>
      <c r="P37" s="13"/>
      <c r="Q37" s="11"/>
      <c r="R37" s="35" t="s">
        <v>33</v>
      </c>
      <c r="S37" s="41" t="s">
        <v>88</v>
      </c>
    </row>
    <row r="38" spans="1:19" ht="23.1" customHeight="1">
      <c r="A38" s="15" t="s">
        <v>27</v>
      </c>
      <c r="B38" s="10" t="s">
        <v>258</v>
      </c>
      <c r="C38" s="154" t="s">
        <v>89</v>
      </c>
      <c r="D38" s="9">
        <v>0</v>
      </c>
      <c r="E38" s="12">
        <v>0</v>
      </c>
      <c r="F38" s="13">
        <v>2</v>
      </c>
      <c r="G38" s="13">
        <f t="shared" si="24"/>
        <v>2</v>
      </c>
      <c r="H38" s="13">
        <v>0</v>
      </c>
      <c r="I38" s="13">
        <f t="shared" si="25"/>
        <v>2</v>
      </c>
      <c r="J38" s="14">
        <f t="shared" si="26"/>
        <v>4</v>
      </c>
      <c r="K38" s="49">
        <f t="shared" ref="K38:K43" si="27">ROUND((($D38*1.5)+$E38+$F38),0)</f>
        <v>2</v>
      </c>
      <c r="L38" s="40" t="s">
        <v>41</v>
      </c>
      <c r="M38" s="7" t="s">
        <v>30</v>
      </c>
      <c r="N38" s="125" t="s">
        <v>42</v>
      </c>
      <c r="O38" s="132" t="s">
        <v>90</v>
      </c>
      <c r="P38" s="13"/>
      <c r="Q38" s="11"/>
      <c r="R38" s="35"/>
      <c r="S38" s="41"/>
    </row>
    <row r="39" spans="1:19" ht="23.1" customHeight="1">
      <c r="A39" s="15" t="s">
        <v>27</v>
      </c>
      <c r="B39" s="10" t="s">
        <v>259</v>
      </c>
      <c r="C39" s="154" t="s">
        <v>91</v>
      </c>
      <c r="D39" s="9">
        <v>2</v>
      </c>
      <c r="E39" s="12">
        <v>2</v>
      </c>
      <c r="F39" s="13">
        <v>0</v>
      </c>
      <c r="G39" s="13">
        <f t="shared" si="24"/>
        <v>4</v>
      </c>
      <c r="H39" s="13">
        <v>0</v>
      </c>
      <c r="I39" s="13">
        <f t="shared" si="25"/>
        <v>6</v>
      </c>
      <c r="J39" s="14">
        <f t="shared" si="26"/>
        <v>10</v>
      </c>
      <c r="K39" s="49">
        <f t="shared" si="27"/>
        <v>5</v>
      </c>
      <c r="L39" s="40" t="s">
        <v>29</v>
      </c>
      <c r="M39" s="7" t="s">
        <v>30</v>
      </c>
      <c r="N39" s="125" t="s">
        <v>31</v>
      </c>
      <c r="O39" s="132" t="s">
        <v>58</v>
      </c>
      <c r="P39" s="13"/>
      <c r="Q39" s="11"/>
      <c r="R39" s="35" t="s">
        <v>33</v>
      </c>
      <c r="S39" s="41" t="s">
        <v>88</v>
      </c>
    </row>
    <row r="40" spans="1:19" ht="23.1" customHeight="1">
      <c r="A40" s="15" t="s">
        <v>51</v>
      </c>
      <c r="B40" s="10" t="s">
        <v>260</v>
      </c>
      <c r="C40" s="154" t="s">
        <v>92</v>
      </c>
      <c r="D40" s="9">
        <v>2</v>
      </c>
      <c r="E40" s="12">
        <v>2</v>
      </c>
      <c r="F40" s="13">
        <v>0</v>
      </c>
      <c r="G40" s="13">
        <f t="shared" si="24"/>
        <v>4</v>
      </c>
      <c r="H40" s="13">
        <v>0</v>
      </c>
      <c r="I40" s="13">
        <f t="shared" si="25"/>
        <v>6</v>
      </c>
      <c r="J40" s="14">
        <f t="shared" si="26"/>
        <v>10</v>
      </c>
      <c r="K40" s="49">
        <f t="shared" si="27"/>
        <v>5</v>
      </c>
      <c r="L40" s="40" t="s">
        <v>70</v>
      </c>
      <c r="M40" s="7" t="s">
        <v>30</v>
      </c>
      <c r="N40" s="125" t="s">
        <v>39</v>
      </c>
      <c r="O40" s="132" t="s">
        <v>81</v>
      </c>
      <c r="P40" s="13"/>
      <c r="Q40" s="11"/>
      <c r="R40" s="35"/>
      <c r="S40" s="41"/>
    </row>
    <row r="41" spans="1:19" ht="23.1" customHeight="1">
      <c r="A41" s="15" t="s">
        <v>51</v>
      </c>
      <c r="B41" s="10" t="s">
        <v>259</v>
      </c>
      <c r="C41" s="154" t="s">
        <v>93</v>
      </c>
      <c r="D41" s="9">
        <v>0</v>
      </c>
      <c r="E41" s="12">
        <v>0</v>
      </c>
      <c r="F41" s="13">
        <v>3</v>
      </c>
      <c r="G41" s="13">
        <f t="shared" si="24"/>
        <v>3</v>
      </c>
      <c r="H41" s="13">
        <v>0</v>
      </c>
      <c r="I41" s="13">
        <f t="shared" si="25"/>
        <v>3</v>
      </c>
      <c r="J41" s="14">
        <f t="shared" si="26"/>
        <v>6</v>
      </c>
      <c r="K41" s="49">
        <f t="shared" si="27"/>
        <v>3</v>
      </c>
      <c r="L41" s="40" t="s">
        <v>41</v>
      </c>
      <c r="M41" s="7" t="s">
        <v>30</v>
      </c>
      <c r="N41" s="125" t="s">
        <v>42</v>
      </c>
      <c r="O41" s="11" t="s">
        <v>62</v>
      </c>
      <c r="P41" s="13"/>
      <c r="Q41" s="11"/>
      <c r="R41" s="35"/>
      <c r="S41" s="41"/>
    </row>
    <row r="42" spans="1:19" ht="23.1" customHeight="1">
      <c r="A42" s="15" t="s">
        <v>51</v>
      </c>
      <c r="B42" s="10" t="s">
        <v>261</v>
      </c>
      <c r="C42" s="154" t="s">
        <v>94</v>
      </c>
      <c r="D42" s="9">
        <v>2</v>
      </c>
      <c r="E42" s="12">
        <v>3</v>
      </c>
      <c r="F42" s="13">
        <v>0</v>
      </c>
      <c r="G42" s="13">
        <f t="shared" si="24"/>
        <v>5</v>
      </c>
      <c r="H42" s="13">
        <v>0</v>
      </c>
      <c r="I42" s="13">
        <f t="shared" si="25"/>
        <v>7</v>
      </c>
      <c r="J42" s="14">
        <f t="shared" si="26"/>
        <v>12</v>
      </c>
      <c r="K42" s="49">
        <f t="shared" si="27"/>
        <v>6</v>
      </c>
      <c r="L42" s="40" t="s">
        <v>70</v>
      </c>
      <c r="M42" s="7" t="s">
        <v>30</v>
      </c>
      <c r="N42" s="125" t="s">
        <v>39</v>
      </c>
      <c r="O42" s="11" t="s">
        <v>95</v>
      </c>
      <c r="P42" s="13"/>
      <c r="Q42" s="11"/>
      <c r="R42" s="35"/>
      <c r="S42" s="41"/>
    </row>
    <row r="43" spans="1:19" ht="23.1" customHeight="1">
      <c r="A43" s="15" t="s">
        <v>51</v>
      </c>
      <c r="B43" s="10" t="s">
        <v>258</v>
      </c>
      <c r="C43" s="154" t="s">
        <v>96</v>
      </c>
      <c r="D43" s="9">
        <v>2</v>
      </c>
      <c r="E43" s="12">
        <v>1</v>
      </c>
      <c r="F43" s="13">
        <v>0</v>
      </c>
      <c r="G43" s="13">
        <f t="shared" si="24"/>
        <v>3</v>
      </c>
      <c r="H43" s="13">
        <v>0</v>
      </c>
      <c r="I43" s="13">
        <f t="shared" si="25"/>
        <v>5</v>
      </c>
      <c r="J43" s="14">
        <f t="shared" si="26"/>
        <v>8</v>
      </c>
      <c r="K43" s="49">
        <f t="shared" si="27"/>
        <v>4</v>
      </c>
      <c r="L43" s="40" t="s">
        <v>70</v>
      </c>
      <c r="M43" s="7" t="s">
        <v>72</v>
      </c>
      <c r="N43" s="125" t="s">
        <v>39</v>
      </c>
      <c r="O43" s="11" t="s">
        <v>97</v>
      </c>
      <c r="P43" s="13"/>
      <c r="Q43" s="11"/>
      <c r="R43" s="35"/>
      <c r="S43" s="41"/>
    </row>
    <row r="44" spans="1:19" ht="23.1" customHeight="1">
      <c r="A44" s="15"/>
      <c r="B44" s="10" t="s">
        <v>243</v>
      </c>
      <c r="C44" s="154" t="s">
        <v>98</v>
      </c>
      <c r="D44" s="9"/>
      <c r="E44" s="12"/>
      <c r="F44" s="13"/>
      <c r="G44" s="13"/>
      <c r="H44" s="13"/>
      <c r="I44" s="13"/>
      <c r="J44" s="14"/>
      <c r="K44" s="49"/>
      <c r="L44" s="40"/>
      <c r="M44" s="7"/>
      <c r="N44" s="125"/>
      <c r="O44" s="11" t="s">
        <v>99</v>
      </c>
      <c r="P44" s="13"/>
      <c r="Q44" s="11"/>
      <c r="R44" s="35"/>
      <c r="S44" s="41"/>
    </row>
    <row r="45" spans="1:19" s="16" customFormat="1" ht="23.1" customHeight="1">
      <c r="A45" s="209" t="s">
        <v>100</v>
      </c>
      <c r="B45" s="205"/>
      <c r="C45" s="203"/>
      <c r="D45" s="151">
        <f>SUM(D46:D54)</f>
        <v>11</v>
      </c>
      <c r="E45" s="124">
        <f t="shared" ref="E45:K45" si="28">SUM(E46:E54)</f>
        <v>8</v>
      </c>
      <c r="F45" s="124">
        <f t="shared" si="28"/>
        <v>6</v>
      </c>
      <c r="G45" s="124">
        <f t="shared" si="28"/>
        <v>25</v>
      </c>
      <c r="H45" s="124">
        <f t="shared" si="28"/>
        <v>0</v>
      </c>
      <c r="I45" s="124">
        <f t="shared" si="28"/>
        <v>36</v>
      </c>
      <c r="J45" s="124">
        <f t="shared" si="28"/>
        <v>61</v>
      </c>
      <c r="K45" s="152">
        <f t="shared" si="28"/>
        <v>31</v>
      </c>
      <c r="L45" s="160"/>
      <c r="M45" s="128"/>
      <c r="N45" s="128"/>
      <c r="O45" s="129"/>
      <c r="P45" s="130"/>
      <c r="Q45" s="130"/>
      <c r="R45" s="130"/>
      <c r="S45" s="146"/>
    </row>
    <row r="46" spans="1:19" ht="23.1" customHeight="1">
      <c r="A46" s="15" t="s">
        <v>27</v>
      </c>
      <c r="B46" s="10" t="s">
        <v>260</v>
      </c>
      <c r="C46" s="154" t="s">
        <v>101</v>
      </c>
      <c r="D46" s="9">
        <v>0</v>
      </c>
      <c r="E46" s="12">
        <v>2</v>
      </c>
      <c r="F46" s="13">
        <v>0</v>
      </c>
      <c r="G46" s="13">
        <f t="shared" ref="G46:G52" si="29">SUM(D46:F46)</f>
        <v>2</v>
      </c>
      <c r="H46" s="13">
        <v>0</v>
      </c>
      <c r="I46" s="13">
        <f t="shared" ref="I46:I52" si="30">(D46*2)+(E46*1)+(F46*1)</f>
        <v>2</v>
      </c>
      <c r="J46" s="14">
        <f t="shared" ref="J46:J52" si="31">G46+I46</f>
        <v>4</v>
      </c>
      <c r="K46" s="49">
        <f>ROUND((($D46*1.5)+$E46+$F46),0)</f>
        <v>2</v>
      </c>
      <c r="L46" s="40" t="s">
        <v>41</v>
      </c>
      <c r="M46" s="7" t="s">
        <v>30</v>
      </c>
      <c r="N46" s="125" t="s">
        <v>42</v>
      </c>
      <c r="O46" s="11" t="s">
        <v>74</v>
      </c>
      <c r="P46" s="13"/>
      <c r="Q46" s="11"/>
      <c r="R46" s="35" t="s">
        <v>33</v>
      </c>
      <c r="S46" s="41" t="s">
        <v>77</v>
      </c>
    </row>
    <row r="47" spans="1:19" ht="23.1" customHeight="1">
      <c r="A47" s="15" t="s">
        <v>51</v>
      </c>
      <c r="B47" s="10" t="s">
        <v>262</v>
      </c>
      <c r="C47" s="154" t="s">
        <v>102</v>
      </c>
      <c r="D47" s="9">
        <v>1</v>
      </c>
      <c r="E47" s="12">
        <v>0</v>
      </c>
      <c r="F47" s="13">
        <v>2</v>
      </c>
      <c r="G47" s="13">
        <f t="shared" si="29"/>
        <v>3</v>
      </c>
      <c r="H47" s="13">
        <v>0</v>
      </c>
      <c r="I47" s="13">
        <f t="shared" si="30"/>
        <v>4</v>
      </c>
      <c r="J47" s="14">
        <f t="shared" si="31"/>
        <v>7</v>
      </c>
      <c r="K47" s="49">
        <f t="shared" ref="K47:K52" si="32">ROUND((($D47*1.5)+$E47+$F47),0)</f>
        <v>4</v>
      </c>
      <c r="L47" s="40" t="s">
        <v>29</v>
      </c>
      <c r="M47" s="7" t="s">
        <v>30</v>
      </c>
      <c r="N47" s="125" t="s">
        <v>45</v>
      </c>
      <c r="O47" s="192" t="s">
        <v>194</v>
      </c>
      <c r="P47" s="13"/>
      <c r="Q47" s="11"/>
      <c r="R47" s="35"/>
      <c r="S47" s="41"/>
    </row>
    <row r="48" spans="1:19" ht="23.1" customHeight="1">
      <c r="A48" s="15" t="s">
        <v>51</v>
      </c>
      <c r="B48" s="10" t="s">
        <v>263</v>
      </c>
      <c r="C48" s="154" t="s">
        <v>103</v>
      </c>
      <c r="D48" s="9">
        <v>2</v>
      </c>
      <c r="E48" s="12">
        <v>2</v>
      </c>
      <c r="F48" s="13">
        <v>2</v>
      </c>
      <c r="G48" s="13">
        <f t="shared" si="29"/>
        <v>6</v>
      </c>
      <c r="H48" s="13">
        <v>0</v>
      </c>
      <c r="I48" s="13">
        <f t="shared" si="30"/>
        <v>8</v>
      </c>
      <c r="J48" s="14">
        <f t="shared" si="31"/>
        <v>14</v>
      </c>
      <c r="K48" s="49">
        <f t="shared" si="32"/>
        <v>7</v>
      </c>
      <c r="L48" s="40" t="s">
        <v>41</v>
      </c>
      <c r="M48" s="80" t="s">
        <v>30</v>
      </c>
      <c r="N48" s="125" t="s">
        <v>42</v>
      </c>
      <c r="O48" s="11" t="s">
        <v>87</v>
      </c>
      <c r="P48" s="13"/>
      <c r="Q48" s="11"/>
      <c r="R48" s="35"/>
      <c r="S48" s="41"/>
    </row>
    <row r="49" spans="1:19" ht="23.1" customHeight="1">
      <c r="A49" s="15" t="s">
        <v>51</v>
      </c>
      <c r="B49" s="10" t="s">
        <v>264</v>
      </c>
      <c r="C49" s="154" t="s">
        <v>104</v>
      </c>
      <c r="D49" s="9">
        <v>2</v>
      </c>
      <c r="E49" s="12">
        <v>1</v>
      </c>
      <c r="F49" s="13">
        <v>2</v>
      </c>
      <c r="G49" s="13">
        <f t="shared" si="29"/>
        <v>5</v>
      </c>
      <c r="H49" s="13">
        <v>0</v>
      </c>
      <c r="I49" s="13">
        <f t="shared" si="30"/>
        <v>7</v>
      </c>
      <c r="J49" s="14">
        <f t="shared" si="31"/>
        <v>12</v>
      </c>
      <c r="K49" s="49">
        <f t="shared" si="32"/>
        <v>6</v>
      </c>
      <c r="L49" s="40" t="s">
        <v>41</v>
      </c>
      <c r="M49" s="7" t="s">
        <v>30</v>
      </c>
      <c r="N49" s="125" t="s">
        <v>42</v>
      </c>
      <c r="O49" s="11" t="s">
        <v>92</v>
      </c>
      <c r="P49" s="13"/>
      <c r="Q49" s="11"/>
      <c r="R49" s="35"/>
      <c r="S49" s="41"/>
    </row>
    <row r="50" spans="1:19" ht="23.1" customHeight="1">
      <c r="A50" s="15" t="s">
        <v>51</v>
      </c>
      <c r="B50" s="10" t="s">
        <v>265</v>
      </c>
      <c r="C50" s="154" t="s">
        <v>105</v>
      </c>
      <c r="D50" s="9">
        <v>2</v>
      </c>
      <c r="E50" s="12">
        <v>1</v>
      </c>
      <c r="F50" s="13">
        <v>0</v>
      </c>
      <c r="G50" s="13">
        <f t="shared" si="29"/>
        <v>3</v>
      </c>
      <c r="H50" s="13">
        <v>0</v>
      </c>
      <c r="I50" s="13">
        <f t="shared" si="30"/>
        <v>5</v>
      </c>
      <c r="J50" s="14">
        <f t="shared" si="31"/>
        <v>8</v>
      </c>
      <c r="K50" s="49">
        <f t="shared" si="32"/>
        <v>4</v>
      </c>
      <c r="L50" s="40" t="s">
        <v>70</v>
      </c>
      <c r="M50" s="7" t="s">
        <v>30</v>
      </c>
      <c r="N50" s="125" t="s">
        <v>39</v>
      </c>
      <c r="O50" s="11" t="s">
        <v>94</v>
      </c>
      <c r="P50" s="13"/>
      <c r="Q50" s="11"/>
      <c r="R50" s="35"/>
      <c r="S50" s="41"/>
    </row>
    <row r="51" spans="1:19" ht="23.1" customHeight="1">
      <c r="A51" s="15" t="s">
        <v>51</v>
      </c>
      <c r="B51" s="10" t="s">
        <v>266</v>
      </c>
      <c r="C51" s="154" t="s">
        <v>106</v>
      </c>
      <c r="D51" s="9">
        <v>2</v>
      </c>
      <c r="E51" s="12">
        <v>1</v>
      </c>
      <c r="F51" s="13">
        <v>0</v>
      </c>
      <c r="G51" s="13">
        <f t="shared" si="29"/>
        <v>3</v>
      </c>
      <c r="H51" s="13">
        <v>0</v>
      </c>
      <c r="I51" s="13">
        <f t="shared" si="30"/>
        <v>5</v>
      </c>
      <c r="J51" s="14">
        <f t="shared" si="31"/>
        <v>8</v>
      </c>
      <c r="K51" s="49">
        <f t="shared" si="32"/>
        <v>4</v>
      </c>
      <c r="L51" s="40" t="s">
        <v>70</v>
      </c>
      <c r="M51" s="7" t="s">
        <v>30</v>
      </c>
      <c r="N51" s="125" t="s">
        <v>39</v>
      </c>
      <c r="O51" s="11" t="s">
        <v>107</v>
      </c>
      <c r="P51" s="13"/>
      <c r="Q51" s="11"/>
      <c r="R51" s="35"/>
      <c r="S51" s="41"/>
    </row>
    <row r="52" spans="1:19" ht="23.1" customHeight="1">
      <c r="A52" s="15" t="s">
        <v>51</v>
      </c>
      <c r="B52" s="10" t="s">
        <v>267</v>
      </c>
      <c r="C52" s="154" t="s">
        <v>108</v>
      </c>
      <c r="D52" s="9">
        <v>2</v>
      </c>
      <c r="E52" s="12">
        <v>1</v>
      </c>
      <c r="F52" s="13">
        <v>0</v>
      </c>
      <c r="G52" s="13">
        <f t="shared" si="29"/>
        <v>3</v>
      </c>
      <c r="H52" s="13">
        <v>0</v>
      </c>
      <c r="I52" s="13">
        <f t="shared" si="30"/>
        <v>5</v>
      </c>
      <c r="J52" s="14">
        <f t="shared" si="31"/>
        <v>8</v>
      </c>
      <c r="K52" s="49">
        <f t="shared" si="32"/>
        <v>4</v>
      </c>
      <c r="L52" s="40" t="s">
        <v>70</v>
      </c>
      <c r="M52" s="7" t="s">
        <v>30</v>
      </c>
      <c r="N52" s="125" t="s">
        <v>39</v>
      </c>
      <c r="O52" s="132" t="s">
        <v>96</v>
      </c>
      <c r="P52" s="13"/>
      <c r="Q52" s="11"/>
      <c r="R52" s="35"/>
      <c r="S52" s="41"/>
    </row>
    <row r="53" spans="1:19" ht="23.1" customHeight="1">
      <c r="A53" s="15"/>
      <c r="B53" s="10"/>
      <c r="C53" s="154" t="s">
        <v>109</v>
      </c>
      <c r="D53" s="9"/>
      <c r="E53" s="12"/>
      <c r="F53" s="13"/>
      <c r="G53" s="13"/>
      <c r="H53" s="13"/>
      <c r="I53" s="13"/>
      <c r="J53" s="14"/>
      <c r="K53" s="49"/>
      <c r="L53" s="40"/>
      <c r="M53" s="7"/>
      <c r="N53" s="125"/>
      <c r="O53" s="132" t="s">
        <v>110</v>
      </c>
      <c r="P53" s="13"/>
      <c r="Q53" s="11"/>
      <c r="R53" s="35"/>
      <c r="S53" s="41"/>
    </row>
    <row r="54" spans="1:19" ht="23.1" customHeight="1">
      <c r="A54" s="15"/>
      <c r="B54" s="10" t="s">
        <v>244</v>
      </c>
      <c r="C54" s="154" t="s">
        <v>111</v>
      </c>
      <c r="D54" s="9"/>
      <c r="E54" s="12"/>
      <c r="F54" s="13"/>
      <c r="G54" s="13"/>
      <c r="H54" s="13"/>
      <c r="I54" s="13"/>
      <c r="J54" s="14"/>
      <c r="K54" s="49"/>
      <c r="L54" s="40"/>
      <c r="M54" s="7"/>
      <c r="N54" s="125"/>
      <c r="O54" s="11" t="s">
        <v>112</v>
      </c>
      <c r="P54" s="13"/>
      <c r="Q54" s="11"/>
      <c r="R54" s="35"/>
      <c r="S54" s="41"/>
    </row>
    <row r="55" spans="1:19" s="16" customFormat="1" ht="23.1" customHeight="1">
      <c r="A55" s="206" t="s">
        <v>113</v>
      </c>
      <c r="B55" s="207"/>
      <c r="C55" s="208"/>
      <c r="D55" s="151">
        <f>SUM(D56:D63)</f>
        <v>9</v>
      </c>
      <c r="E55" s="124">
        <f t="shared" ref="E55:K55" si="33">SUM(E56:E63)</f>
        <v>5</v>
      </c>
      <c r="F55" s="124">
        <f t="shared" si="33"/>
        <v>11</v>
      </c>
      <c r="G55" s="124">
        <f t="shared" si="33"/>
        <v>25</v>
      </c>
      <c r="H55" s="124">
        <f t="shared" si="33"/>
        <v>0</v>
      </c>
      <c r="I55" s="124">
        <f t="shared" si="33"/>
        <v>50</v>
      </c>
      <c r="J55" s="124">
        <f t="shared" si="33"/>
        <v>75</v>
      </c>
      <c r="K55" s="152">
        <f t="shared" si="33"/>
        <v>34</v>
      </c>
      <c r="L55" s="160"/>
      <c r="M55" s="128"/>
      <c r="N55" s="128"/>
      <c r="O55" s="129"/>
      <c r="P55" s="130"/>
      <c r="Q55" s="130"/>
      <c r="R55" s="130"/>
      <c r="S55" s="145"/>
    </row>
    <row r="56" spans="1:19" ht="23.1" customHeight="1">
      <c r="A56" s="161" t="s">
        <v>51</v>
      </c>
      <c r="B56" s="162" t="s">
        <v>268</v>
      </c>
      <c r="C56" s="196" t="s">
        <v>233</v>
      </c>
      <c r="D56" s="9">
        <v>0</v>
      </c>
      <c r="E56" s="12">
        <v>0</v>
      </c>
      <c r="F56" s="13">
        <v>4</v>
      </c>
      <c r="G56" s="13">
        <f>SUM(D56:F56)</f>
        <v>4</v>
      </c>
      <c r="H56" s="13">
        <v>0</v>
      </c>
      <c r="I56" s="13">
        <f t="shared" ref="I56:I61" si="34">(D56*2)+(E56*1)+(F56*1)</f>
        <v>4</v>
      </c>
      <c r="J56" s="14">
        <f t="shared" ref="J56:J61" si="35">G56+I56</f>
        <v>8</v>
      </c>
      <c r="K56" s="49">
        <f>ROUND((($D56*1.5)+$E56+$F56),0)</f>
        <v>4</v>
      </c>
      <c r="L56" s="40" t="s">
        <v>41</v>
      </c>
      <c r="M56" s="7" t="s">
        <v>30</v>
      </c>
      <c r="N56" s="125" t="s">
        <v>42</v>
      </c>
      <c r="O56" s="11" t="s">
        <v>114</v>
      </c>
      <c r="P56" s="13"/>
      <c r="Q56" s="11"/>
      <c r="R56" s="35"/>
      <c r="S56" s="41"/>
    </row>
    <row r="57" spans="1:19" ht="23.1" customHeight="1">
      <c r="A57" s="9" t="s">
        <v>51</v>
      </c>
      <c r="B57" s="10" t="s">
        <v>269</v>
      </c>
      <c r="C57" s="163" t="s">
        <v>115</v>
      </c>
      <c r="D57" s="9">
        <v>1</v>
      </c>
      <c r="E57" s="12">
        <v>0</v>
      </c>
      <c r="F57" s="13">
        <v>2</v>
      </c>
      <c r="G57" s="13">
        <f t="shared" ref="G57:G62" si="36">SUM(D57:F57)</f>
        <v>3</v>
      </c>
      <c r="H57" s="13">
        <v>0</v>
      </c>
      <c r="I57" s="13">
        <f t="shared" si="34"/>
        <v>4</v>
      </c>
      <c r="J57" s="14">
        <f t="shared" si="35"/>
        <v>7</v>
      </c>
      <c r="K57" s="49">
        <f t="shared" ref="K57:K62" si="37">ROUND((($D57*1.5)+$E57+$F57),0)</f>
        <v>4</v>
      </c>
      <c r="L57" s="40" t="s">
        <v>29</v>
      </c>
      <c r="M57" s="7" t="s">
        <v>30</v>
      </c>
      <c r="N57" s="125" t="s">
        <v>45</v>
      </c>
      <c r="O57" s="11" t="s">
        <v>102</v>
      </c>
      <c r="P57" s="13"/>
      <c r="Q57" s="11"/>
      <c r="R57" s="35"/>
      <c r="S57" s="41"/>
    </row>
    <row r="58" spans="1:19" ht="23.1" customHeight="1">
      <c r="A58" s="9" t="s">
        <v>51</v>
      </c>
      <c r="B58" s="10" t="s">
        <v>270</v>
      </c>
      <c r="C58" s="154" t="s">
        <v>116</v>
      </c>
      <c r="D58" s="9">
        <v>2</v>
      </c>
      <c r="E58" s="12">
        <v>2</v>
      </c>
      <c r="F58" s="13">
        <v>0</v>
      </c>
      <c r="G58" s="13">
        <f t="shared" si="36"/>
        <v>4</v>
      </c>
      <c r="H58" s="13">
        <v>0</v>
      </c>
      <c r="I58" s="13">
        <f t="shared" si="34"/>
        <v>6</v>
      </c>
      <c r="J58" s="14">
        <f t="shared" si="35"/>
        <v>10</v>
      </c>
      <c r="K58" s="49">
        <f t="shared" si="37"/>
        <v>5</v>
      </c>
      <c r="L58" s="40" t="s">
        <v>70</v>
      </c>
      <c r="M58" s="7" t="s">
        <v>117</v>
      </c>
      <c r="N58" s="125" t="s">
        <v>39</v>
      </c>
      <c r="O58" s="132" t="s">
        <v>118</v>
      </c>
      <c r="P58" s="13"/>
      <c r="Q58" s="11"/>
      <c r="R58" s="35"/>
      <c r="S58" s="41"/>
    </row>
    <row r="59" spans="1:19" ht="23.1" customHeight="1">
      <c r="A59" s="9" t="s">
        <v>51</v>
      </c>
      <c r="B59" s="10" t="s">
        <v>271</v>
      </c>
      <c r="C59" s="154" t="s">
        <v>119</v>
      </c>
      <c r="D59" s="9">
        <v>2</v>
      </c>
      <c r="E59" s="12">
        <v>0</v>
      </c>
      <c r="F59" s="13">
        <v>2</v>
      </c>
      <c r="G59" s="13">
        <f t="shared" si="36"/>
        <v>4</v>
      </c>
      <c r="H59" s="13">
        <v>0</v>
      </c>
      <c r="I59" s="13">
        <f t="shared" si="34"/>
        <v>6</v>
      </c>
      <c r="J59" s="14">
        <f t="shared" si="35"/>
        <v>10</v>
      </c>
      <c r="K59" s="49">
        <f t="shared" si="37"/>
        <v>5</v>
      </c>
      <c r="L59" s="40" t="s">
        <v>41</v>
      </c>
      <c r="M59" s="7" t="s">
        <v>117</v>
      </c>
      <c r="N59" s="125" t="s">
        <v>42</v>
      </c>
      <c r="O59" s="11" t="s">
        <v>104</v>
      </c>
      <c r="P59" s="13"/>
      <c r="Q59" s="11"/>
      <c r="R59" s="35"/>
      <c r="S59" s="41"/>
    </row>
    <row r="60" spans="1:19" ht="23.1" customHeight="1">
      <c r="A60" s="22" t="s">
        <v>51</v>
      </c>
      <c r="B60" s="2" t="s">
        <v>272</v>
      </c>
      <c r="C60" s="155" t="s">
        <v>120</v>
      </c>
      <c r="D60" s="51">
        <v>0</v>
      </c>
      <c r="E60" s="23">
        <v>0</v>
      </c>
      <c r="F60" s="24">
        <v>3</v>
      </c>
      <c r="G60" s="23">
        <f t="shared" si="36"/>
        <v>3</v>
      </c>
      <c r="H60" s="24">
        <v>0</v>
      </c>
      <c r="I60" s="23">
        <f t="shared" si="34"/>
        <v>3</v>
      </c>
      <c r="J60" s="24">
        <f t="shared" si="35"/>
        <v>6</v>
      </c>
      <c r="K60" s="49">
        <f t="shared" si="37"/>
        <v>3</v>
      </c>
      <c r="L60" s="40" t="s">
        <v>41</v>
      </c>
      <c r="M60" s="7" t="s">
        <v>30</v>
      </c>
      <c r="N60" s="80" t="s">
        <v>42</v>
      </c>
      <c r="O60" s="11" t="s">
        <v>114</v>
      </c>
      <c r="P60" s="25"/>
      <c r="Q60" s="26"/>
      <c r="R60" s="26" t="s">
        <v>33</v>
      </c>
      <c r="S60" s="27" t="s">
        <v>121</v>
      </c>
    </row>
    <row r="61" spans="1:19" ht="23.1" customHeight="1">
      <c r="A61" s="9" t="s">
        <v>51</v>
      </c>
      <c r="B61" s="10" t="s">
        <v>273</v>
      </c>
      <c r="C61" s="154" t="s">
        <v>122</v>
      </c>
      <c r="D61" s="9">
        <v>2</v>
      </c>
      <c r="E61" s="12">
        <v>2</v>
      </c>
      <c r="F61" s="13">
        <v>0</v>
      </c>
      <c r="G61" s="13">
        <f t="shared" si="36"/>
        <v>4</v>
      </c>
      <c r="H61" s="13">
        <v>0</v>
      </c>
      <c r="I61" s="13">
        <f t="shared" si="34"/>
        <v>6</v>
      </c>
      <c r="J61" s="14">
        <f t="shared" si="35"/>
        <v>10</v>
      </c>
      <c r="K61" s="49">
        <f t="shared" si="37"/>
        <v>5</v>
      </c>
      <c r="L61" s="40" t="s">
        <v>70</v>
      </c>
      <c r="M61" s="7" t="s">
        <v>30</v>
      </c>
      <c r="N61" s="125" t="s">
        <v>39</v>
      </c>
      <c r="O61" s="11" t="s">
        <v>123</v>
      </c>
      <c r="P61" s="13"/>
      <c r="Q61" s="11"/>
      <c r="R61" s="35"/>
      <c r="S61" s="41"/>
    </row>
    <row r="62" spans="1:19" ht="23.1" customHeight="1">
      <c r="A62" s="200" t="s">
        <v>124</v>
      </c>
      <c r="B62" s="201"/>
      <c r="C62" s="154" t="s">
        <v>125</v>
      </c>
      <c r="D62" s="9">
        <v>2</v>
      </c>
      <c r="E62" s="12">
        <v>1</v>
      </c>
      <c r="F62" s="13">
        <v>0</v>
      </c>
      <c r="G62" s="13">
        <f t="shared" si="36"/>
        <v>3</v>
      </c>
      <c r="H62" s="13">
        <v>0</v>
      </c>
      <c r="I62" s="13">
        <f t="shared" ref="I62" si="38">(D62*2)+(E62*1)+(F62*1)</f>
        <v>5</v>
      </c>
      <c r="J62" s="14">
        <f t="shared" ref="J62:J63" si="39">G62+I62</f>
        <v>8</v>
      </c>
      <c r="K62" s="49">
        <f t="shared" si="37"/>
        <v>4</v>
      </c>
      <c r="L62" s="40" t="s">
        <v>41</v>
      </c>
      <c r="M62" s="7" t="s">
        <v>124</v>
      </c>
      <c r="N62" s="125" t="s">
        <v>126</v>
      </c>
      <c r="O62" s="11" t="s">
        <v>127</v>
      </c>
      <c r="P62" s="13"/>
      <c r="Q62" s="11"/>
      <c r="R62" s="35"/>
      <c r="S62" s="41" t="s">
        <v>46</v>
      </c>
    </row>
    <row r="63" spans="1:19" ht="23.1" customHeight="1">
      <c r="A63" s="15" t="s">
        <v>51</v>
      </c>
      <c r="B63" s="10" t="s">
        <v>274</v>
      </c>
      <c r="C63" s="154" t="s">
        <v>128</v>
      </c>
      <c r="D63" s="9">
        <v>0</v>
      </c>
      <c r="E63" s="12">
        <v>0</v>
      </c>
      <c r="F63" s="13">
        <v>0</v>
      </c>
      <c r="G63" s="13">
        <f t="shared" ref="G63" si="40">SUM(D63:F63)</f>
        <v>0</v>
      </c>
      <c r="H63" s="13">
        <v>0</v>
      </c>
      <c r="I63" s="13">
        <v>16</v>
      </c>
      <c r="J63" s="14">
        <f t="shared" si="39"/>
        <v>16</v>
      </c>
      <c r="K63" s="49">
        <v>4</v>
      </c>
      <c r="L63" s="40"/>
      <c r="M63" s="7" t="s">
        <v>72</v>
      </c>
      <c r="N63" s="125" t="s">
        <v>129</v>
      </c>
      <c r="O63" s="11" t="s">
        <v>122</v>
      </c>
      <c r="P63" s="13"/>
      <c r="Q63" s="11"/>
      <c r="R63" s="35"/>
      <c r="S63" s="41"/>
    </row>
    <row r="64" spans="1:19" s="16" customFormat="1" ht="23.1" customHeight="1">
      <c r="A64" s="209" t="s">
        <v>130</v>
      </c>
      <c r="B64" s="205"/>
      <c r="C64" s="203"/>
      <c r="D64" s="151">
        <f>SUM(D65:D72)</f>
        <v>12</v>
      </c>
      <c r="E64" s="124">
        <f t="shared" ref="E64:K64" si="41">SUM(E65:E72)</f>
        <v>9</v>
      </c>
      <c r="F64" s="124">
        <f t="shared" si="41"/>
        <v>0</v>
      </c>
      <c r="G64" s="124">
        <f t="shared" si="41"/>
        <v>21</v>
      </c>
      <c r="H64" s="124">
        <f t="shared" si="41"/>
        <v>0</v>
      </c>
      <c r="I64" s="124">
        <f t="shared" si="41"/>
        <v>73</v>
      </c>
      <c r="J64" s="124">
        <f t="shared" si="41"/>
        <v>94</v>
      </c>
      <c r="K64" s="152">
        <f t="shared" si="41"/>
        <v>49</v>
      </c>
      <c r="L64" s="160"/>
      <c r="M64" s="128"/>
      <c r="N64" s="128"/>
      <c r="O64" s="129"/>
      <c r="P64" s="130"/>
      <c r="Q64" s="130"/>
      <c r="R64" s="130"/>
      <c r="S64" s="145"/>
    </row>
    <row r="65" spans="1:19" s="16" customFormat="1" ht="23.1" customHeight="1">
      <c r="A65" s="22" t="s">
        <v>27</v>
      </c>
      <c r="B65" s="2" t="s">
        <v>241</v>
      </c>
      <c r="C65" s="157" t="s">
        <v>131</v>
      </c>
      <c r="D65" s="1">
        <v>1</v>
      </c>
      <c r="E65" s="4">
        <v>1</v>
      </c>
      <c r="F65" s="5">
        <v>0</v>
      </c>
      <c r="G65" s="5">
        <f t="shared" ref="G65:G72" si="42">SUM(D65:F65)</f>
        <v>2</v>
      </c>
      <c r="H65" s="5">
        <v>0</v>
      </c>
      <c r="I65" s="5">
        <f t="shared" ref="I65:I71" si="43">(D65*2)+(E65*1)+(F65*1)</f>
        <v>3</v>
      </c>
      <c r="J65" s="6">
        <f t="shared" ref="J65:J72" si="44">G65+I65</f>
        <v>5</v>
      </c>
      <c r="K65" s="52">
        <f t="shared" ref="K65:K74" si="45">ROUND((($D65*1.5)+$E65+$F65),0)</f>
        <v>3</v>
      </c>
      <c r="L65" s="40" t="s">
        <v>29</v>
      </c>
      <c r="M65" s="7" t="s">
        <v>72</v>
      </c>
      <c r="N65" s="134" t="s">
        <v>132</v>
      </c>
      <c r="O65" s="3" t="s">
        <v>127</v>
      </c>
      <c r="P65" s="5"/>
      <c r="Q65" s="3"/>
      <c r="R65" s="26" t="s">
        <v>33</v>
      </c>
      <c r="S65" s="53" t="s">
        <v>133</v>
      </c>
    </row>
    <row r="66" spans="1:19" s="16" customFormat="1" ht="23.1" customHeight="1">
      <c r="A66" s="15" t="s">
        <v>51</v>
      </c>
      <c r="B66" s="10" t="s">
        <v>275</v>
      </c>
      <c r="C66" s="154" t="s">
        <v>134</v>
      </c>
      <c r="D66" s="9">
        <v>1</v>
      </c>
      <c r="E66" s="12">
        <v>2</v>
      </c>
      <c r="F66" s="13">
        <v>0</v>
      </c>
      <c r="G66" s="5">
        <f t="shared" si="42"/>
        <v>3</v>
      </c>
      <c r="H66" s="5">
        <v>0</v>
      </c>
      <c r="I66" s="5">
        <f t="shared" si="43"/>
        <v>4</v>
      </c>
      <c r="J66" s="6">
        <f t="shared" si="44"/>
        <v>7</v>
      </c>
      <c r="K66" s="52">
        <f t="shared" si="45"/>
        <v>4</v>
      </c>
      <c r="L66" s="40" t="s">
        <v>29</v>
      </c>
      <c r="M66" s="7" t="s">
        <v>72</v>
      </c>
      <c r="N66" s="125" t="s">
        <v>45</v>
      </c>
      <c r="O66" s="11" t="s">
        <v>115</v>
      </c>
      <c r="P66" s="13"/>
      <c r="Q66" s="11"/>
      <c r="R66" s="35"/>
      <c r="S66" s="41"/>
    </row>
    <row r="67" spans="1:19" s="16" customFormat="1" ht="23.1" customHeight="1">
      <c r="A67" s="15" t="s">
        <v>51</v>
      </c>
      <c r="B67" s="10" t="s">
        <v>276</v>
      </c>
      <c r="C67" s="154" t="s">
        <v>135</v>
      </c>
      <c r="D67" s="9">
        <v>2</v>
      </c>
      <c r="E67" s="12">
        <v>1</v>
      </c>
      <c r="F67" s="13">
        <v>0</v>
      </c>
      <c r="G67" s="5">
        <f t="shared" si="42"/>
        <v>3</v>
      </c>
      <c r="H67" s="5">
        <v>0</v>
      </c>
      <c r="I67" s="5">
        <f t="shared" si="43"/>
        <v>5</v>
      </c>
      <c r="J67" s="6">
        <f t="shared" si="44"/>
        <v>8</v>
      </c>
      <c r="K67" s="52">
        <f t="shared" si="45"/>
        <v>4</v>
      </c>
      <c r="L67" s="40" t="s">
        <v>70</v>
      </c>
      <c r="M67" s="7" t="s">
        <v>72</v>
      </c>
      <c r="N67" s="125" t="s">
        <v>39</v>
      </c>
      <c r="O67" s="11" t="s">
        <v>116</v>
      </c>
      <c r="P67" s="13"/>
      <c r="Q67" s="11"/>
      <c r="R67" s="35"/>
      <c r="S67" s="41"/>
    </row>
    <row r="68" spans="1:19" s="16" customFormat="1" ht="23.1" customHeight="1">
      <c r="A68" s="15" t="s">
        <v>51</v>
      </c>
      <c r="B68" s="10" t="s">
        <v>277</v>
      </c>
      <c r="C68" s="154" t="s">
        <v>136</v>
      </c>
      <c r="D68" s="9">
        <v>2</v>
      </c>
      <c r="E68" s="12">
        <v>2</v>
      </c>
      <c r="F68" s="13">
        <v>0</v>
      </c>
      <c r="G68" s="5">
        <f t="shared" si="42"/>
        <v>4</v>
      </c>
      <c r="H68" s="5">
        <v>0</v>
      </c>
      <c r="I68" s="5">
        <f t="shared" si="43"/>
        <v>6</v>
      </c>
      <c r="J68" s="6">
        <f t="shared" si="44"/>
        <v>10</v>
      </c>
      <c r="K68" s="52">
        <f t="shared" si="45"/>
        <v>5</v>
      </c>
      <c r="L68" s="40" t="s">
        <v>41</v>
      </c>
      <c r="M68" s="7" t="s">
        <v>137</v>
      </c>
      <c r="N68" s="125" t="s">
        <v>42</v>
      </c>
      <c r="O68" s="11" t="s">
        <v>119</v>
      </c>
      <c r="P68" s="13"/>
      <c r="Q68" s="11"/>
      <c r="R68" s="35"/>
      <c r="S68" s="41"/>
    </row>
    <row r="69" spans="1:19" s="16" customFormat="1" ht="23.1" customHeight="1">
      <c r="A69" s="15" t="s">
        <v>51</v>
      </c>
      <c r="B69" s="10" t="s">
        <v>278</v>
      </c>
      <c r="C69" s="154" t="s">
        <v>138</v>
      </c>
      <c r="D69" s="9">
        <v>2</v>
      </c>
      <c r="E69" s="12">
        <v>1</v>
      </c>
      <c r="F69" s="13">
        <v>0</v>
      </c>
      <c r="G69" s="5">
        <f t="shared" si="42"/>
        <v>3</v>
      </c>
      <c r="H69" s="5">
        <v>0</v>
      </c>
      <c r="I69" s="5">
        <f t="shared" si="43"/>
        <v>5</v>
      </c>
      <c r="J69" s="6">
        <f t="shared" si="44"/>
        <v>8</v>
      </c>
      <c r="K69" s="52">
        <f t="shared" si="45"/>
        <v>4</v>
      </c>
      <c r="L69" s="40" t="s">
        <v>70</v>
      </c>
      <c r="M69" s="7" t="s">
        <v>137</v>
      </c>
      <c r="N69" s="125" t="s">
        <v>39</v>
      </c>
      <c r="O69" s="126" t="s">
        <v>139</v>
      </c>
      <c r="P69" s="13"/>
      <c r="Q69" s="11"/>
      <c r="R69" s="35"/>
      <c r="S69" s="41"/>
    </row>
    <row r="70" spans="1:19" s="16" customFormat="1" ht="23.1" customHeight="1">
      <c r="A70" s="200" t="s">
        <v>124</v>
      </c>
      <c r="B70" s="201"/>
      <c r="C70" s="154" t="s">
        <v>140</v>
      </c>
      <c r="D70" s="9">
        <v>2</v>
      </c>
      <c r="E70" s="12">
        <v>1</v>
      </c>
      <c r="F70" s="13">
        <v>0</v>
      </c>
      <c r="G70" s="5">
        <f t="shared" si="42"/>
        <v>3</v>
      </c>
      <c r="H70" s="5">
        <v>0</v>
      </c>
      <c r="I70" s="5">
        <f t="shared" si="43"/>
        <v>5</v>
      </c>
      <c r="J70" s="6">
        <f t="shared" si="44"/>
        <v>8</v>
      </c>
      <c r="K70" s="52">
        <f t="shared" si="45"/>
        <v>4</v>
      </c>
      <c r="L70" s="40" t="s">
        <v>41</v>
      </c>
      <c r="M70" s="7" t="s">
        <v>124</v>
      </c>
      <c r="N70" s="125" t="s">
        <v>126</v>
      </c>
      <c r="O70" s="126" t="s">
        <v>127</v>
      </c>
      <c r="P70" s="13"/>
      <c r="Q70" s="11"/>
      <c r="R70" s="35"/>
      <c r="S70" s="41" t="s">
        <v>46</v>
      </c>
    </row>
    <row r="71" spans="1:19" s="16" customFormat="1" ht="23.1" customHeight="1">
      <c r="A71" s="200" t="s">
        <v>141</v>
      </c>
      <c r="B71" s="201"/>
      <c r="C71" s="154" t="s">
        <v>142</v>
      </c>
      <c r="D71" s="9">
        <v>2</v>
      </c>
      <c r="E71" s="12">
        <v>1</v>
      </c>
      <c r="F71" s="13">
        <v>0</v>
      </c>
      <c r="G71" s="5">
        <f t="shared" si="42"/>
        <v>3</v>
      </c>
      <c r="H71" s="5">
        <v>0</v>
      </c>
      <c r="I71" s="5">
        <f t="shared" si="43"/>
        <v>5</v>
      </c>
      <c r="J71" s="6">
        <f t="shared" si="44"/>
        <v>8</v>
      </c>
      <c r="K71" s="52">
        <f t="shared" si="45"/>
        <v>4</v>
      </c>
      <c r="L71" s="40" t="s">
        <v>41</v>
      </c>
      <c r="M71" s="7" t="s">
        <v>141</v>
      </c>
      <c r="N71" s="125" t="s">
        <v>126</v>
      </c>
      <c r="O71" s="126" t="s">
        <v>143</v>
      </c>
      <c r="P71" s="13"/>
      <c r="Q71" s="11"/>
      <c r="R71" s="35"/>
      <c r="S71" s="41" t="s">
        <v>46</v>
      </c>
    </row>
    <row r="72" spans="1:19" s="16" customFormat="1" ht="23.1" customHeight="1" thickBot="1">
      <c r="A72" s="17" t="s">
        <v>51</v>
      </c>
      <c r="B72" s="18" t="s">
        <v>279</v>
      </c>
      <c r="C72" s="158" t="s">
        <v>144</v>
      </c>
      <c r="D72" s="28">
        <v>0</v>
      </c>
      <c r="E72" s="20">
        <v>0</v>
      </c>
      <c r="F72" s="21">
        <v>0</v>
      </c>
      <c r="G72" s="147">
        <f t="shared" si="42"/>
        <v>0</v>
      </c>
      <c r="H72" s="147">
        <v>0</v>
      </c>
      <c r="I72" s="147">
        <v>40</v>
      </c>
      <c r="J72" s="148">
        <f t="shared" si="44"/>
        <v>40</v>
      </c>
      <c r="K72" s="153">
        <v>21</v>
      </c>
      <c r="L72" s="45"/>
      <c r="M72" s="46"/>
      <c r="N72" s="149" t="s">
        <v>129</v>
      </c>
      <c r="O72" s="197" t="s">
        <v>234</v>
      </c>
      <c r="P72" s="21"/>
      <c r="Q72" s="19"/>
      <c r="R72" s="47"/>
      <c r="S72" s="48"/>
    </row>
    <row r="73" spans="1:19" s="16" customFormat="1" ht="23.1" customHeight="1" thickBot="1">
      <c r="A73" s="54"/>
      <c r="B73" s="55"/>
      <c r="C73" s="159" t="s">
        <v>145</v>
      </c>
      <c r="D73" s="56">
        <f t="shared" ref="D73:K73" si="46">D64+D55+D45+D36+D28+D20+D13+D6</f>
        <v>83</v>
      </c>
      <c r="E73" s="57">
        <f t="shared" si="46"/>
        <v>75</v>
      </c>
      <c r="F73" s="57">
        <f t="shared" si="46"/>
        <v>35</v>
      </c>
      <c r="G73" s="57">
        <f t="shared" si="46"/>
        <v>193</v>
      </c>
      <c r="H73" s="57">
        <f t="shared" si="46"/>
        <v>0</v>
      </c>
      <c r="I73" s="57">
        <f t="shared" si="46"/>
        <v>332</v>
      </c>
      <c r="J73" s="57">
        <f t="shared" si="46"/>
        <v>525</v>
      </c>
      <c r="K73" s="58">
        <f t="shared" si="46"/>
        <v>265</v>
      </c>
      <c r="L73" s="59"/>
      <c r="M73" s="59"/>
      <c r="N73" s="59">
        <f>SUM(J65:J71)</f>
        <v>54</v>
      </c>
      <c r="O73" s="60"/>
      <c r="P73" s="61"/>
      <c r="Q73" s="61"/>
      <c r="R73" s="61"/>
      <c r="S73" s="62"/>
    </row>
    <row r="74" spans="1:19" s="16" customFormat="1" ht="20.100000000000001" customHeight="1">
      <c r="A74" s="63"/>
      <c r="B74" s="63"/>
      <c r="C74" s="63"/>
      <c r="D74" s="9">
        <v>0</v>
      </c>
      <c r="E74" s="12">
        <v>0</v>
      </c>
      <c r="F74" s="13">
        <v>0</v>
      </c>
      <c r="G74" s="5">
        <v>0</v>
      </c>
      <c r="H74" s="5">
        <v>0</v>
      </c>
      <c r="I74" s="5">
        <v>16</v>
      </c>
      <c r="J74" s="6">
        <f t="shared" ref="J74" si="47">G74+I74</f>
        <v>16</v>
      </c>
      <c r="K74" s="52">
        <f t="shared" si="45"/>
        <v>0</v>
      </c>
      <c r="L74" s="59"/>
      <c r="M74" s="61"/>
      <c r="N74" s="61"/>
      <c r="O74" s="60"/>
      <c r="P74" s="61"/>
      <c r="Q74" s="62"/>
    </row>
    <row r="75" spans="1:19" s="16" customFormat="1" ht="23.1" customHeight="1">
      <c r="A75" s="16" t="s">
        <v>146</v>
      </c>
      <c r="B75" s="63"/>
      <c r="D75" s="63"/>
      <c r="E75" s="64"/>
      <c r="F75" s="61"/>
      <c r="G75" s="61"/>
      <c r="J75" s="59"/>
      <c r="K75" s="59"/>
      <c r="L75" s="59"/>
      <c r="M75" s="61"/>
      <c r="N75" s="61"/>
      <c r="O75" s="60"/>
      <c r="P75" s="61"/>
      <c r="Q75" s="62"/>
    </row>
    <row r="76" spans="1:19" s="16" customFormat="1" ht="23.1" customHeight="1">
      <c r="B76" s="63"/>
      <c r="D76" s="63"/>
      <c r="E76" s="64"/>
      <c r="F76" s="61"/>
      <c r="G76" s="61"/>
      <c r="J76" s="59"/>
      <c r="K76" s="59"/>
      <c r="L76" s="59"/>
      <c r="M76" s="61"/>
      <c r="N76" s="61"/>
      <c r="O76" s="60"/>
      <c r="P76" s="61"/>
      <c r="Q76" s="62"/>
    </row>
    <row r="77" spans="1:19" s="16" customFormat="1" ht="23.1" customHeight="1">
      <c r="A77" s="8" t="s">
        <v>147</v>
      </c>
      <c r="B77" s="63"/>
      <c r="D77" s="8"/>
      <c r="E77" s="8"/>
      <c r="F77" s="8"/>
      <c r="G77" s="8"/>
      <c r="H77" s="8"/>
      <c r="I77" s="8"/>
      <c r="J77" s="8"/>
      <c r="K77" s="8"/>
      <c r="L77" s="8"/>
      <c r="M77" s="8"/>
      <c r="O77" s="60"/>
      <c r="P77" s="61"/>
      <c r="Q77" s="62"/>
    </row>
    <row r="78" spans="1:19" s="16" customFormat="1" ht="23.1" customHeight="1">
      <c r="A78" s="8" t="s">
        <v>148</v>
      </c>
      <c r="B78" s="63"/>
      <c r="D78" s="8"/>
      <c r="E78" s="8"/>
      <c r="F78" s="8"/>
      <c r="G78" s="8"/>
      <c r="H78" s="8"/>
      <c r="I78" s="8"/>
      <c r="J78" s="8"/>
      <c r="K78" s="8"/>
      <c r="L78" s="8"/>
      <c r="M78" s="8"/>
      <c r="O78" s="8"/>
      <c r="P78" s="61"/>
      <c r="Q78" s="62"/>
    </row>
    <row r="79" spans="1:19" s="16" customFormat="1" ht="23.1" customHeight="1">
      <c r="A79" s="8"/>
      <c r="B79" s="63"/>
      <c r="D79" s="8"/>
      <c r="E79" s="8"/>
      <c r="F79" s="8"/>
      <c r="G79" s="8"/>
      <c r="H79" s="8"/>
      <c r="I79" s="8"/>
      <c r="J79" s="8"/>
      <c r="K79" s="8"/>
      <c r="L79" s="8"/>
      <c r="M79" s="8"/>
      <c r="O79" s="8"/>
      <c r="P79" s="61"/>
      <c r="Q79" s="62"/>
    </row>
    <row r="80" spans="1:19" s="16" customFormat="1" ht="44.25" customHeight="1">
      <c r="A80" s="224" t="s">
        <v>235</v>
      </c>
      <c r="B80" s="224"/>
      <c r="C80" s="224"/>
      <c r="D80" s="224"/>
      <c r="E80" s="224"/>
      <c r="F80" s="224"/>
      <c r="G80" s="224"/>
      <c r="H80" s="224"/>
      <c r="I80" s="224"/>
      <c r="J80" s="224"/>
      <c r="K80" s="224"/>
      <c r="L80" s="224"/>
      <c r="M80" s="224"/>
      <c r="N80" s="224"/>
      <c r="O80" s="224"/>
      <c r="P80" s="224"/>
      <c r="Q80" s="224"/>
      <c r="R80" s="224"/>
      <c r="S80" s="224"/>
    </row>
    <row r="81" spans="1:19" s="16" customFormat="1" ht="44.25" customHeight="1">
      <c r="A81" s="224" t="s">
        <v>236</v>
      </c>
      <c r="B81" s="224"/>
      <c r="C81" s="224"/>
      <c r="D81" s="224"/>
      <c r="E81" s="224"/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/>
      <c r="R81" s="224"/>
      <c r="S81" s="224"/>
    </row>
    <row r="82" spans="1:19" ht="23.1" customHeight="1">
      <c r="A82" s="65"/>
      <c r="Q82" s="8"/>
      <c r="R82" s="66"/>
    </row>
    <row r="83" spans="1:19" ht="23.1" customHeight="1">
      <c r="A83" s="65" t="s">
        <v>149</v>
      </c>
      <c r="B83" s="67"/>
      <c r="C83" s="67"/>
      <c r="D83" s="67"/>
      <c r="E83" s="67"/>
      <c r="F83" s="67"/>
      <c r="G83" s="67"/>
      <c r="H83" s="67"/>
      <c r="I83" s="67"/>
      <c r="J83" s="68"/>
      <c r="K83" s="68"/>
      <c r="L83" s="69"/>
      <c r="O83" s="8"/>
      <c r="Q83" s="8"/>
      <c r="R83" s="66"/>
    </row>
    <row r="84" spans="1:19" ht="23.1" customHeight="1">
      <c r="A84" s="74" t="s">
        <v>150</v>
      </c>
      <c r="B84" s="67"/>
      <c r="C84" s="67"/>
      <c r="D84" s="67"/>
      <c r="E84" s="50"/>
      <c r="G84" s="74" t="s">
        <v>151</v>
      </c>
      <c r="H84" s="67"/>
      <c r="I84" s="67"/>
      <c r="J84" s="67"/>
      <c r="K84" s="68"/>
      <c r="L84" s="69"/>
      <c r="M84" s="68"/>
      <c r="O84" s="76" t="s">
        <v>152</v>
      </c>
      <c r="Q84" s="8"/>
      <c r="R84" s="66"/>
    </row>
    <row r="85" spans="1:19" ht="23.1" customHeight="1">
      <c r="A85" s="74" t="s">
        <v>153</v>
      </c>
      <c r="B85" s="67"/>
      <c r="C85" s="67"/>
      <c r="D85" s="67"/>
      <c r="E85" s="67"/>
      <c r="G85" s="67"/>
      <c r="H85" s="74" t="s">
        <v>154</v>
      </c>
      <c r="I85" s="67"/>
      <c r="J85" s="67"/>
      <c r="K85" s="68"/>
      <c r="L85" s="69"/>
      <c r="M85" s="68"/>
      <c r="O85" s="77" t="s">
        <v>155</v>
      </c>
      <c r="Q85" s="8"/>
      <c r="R85" s="66"/>
    </row>
    <row r="86" spans="1:19" ht="23.1" customHeight="1">
      <c r="A86" s="74" t="s">
        <v>156</v>
      </c>
      <c r="B86" s="67"/>
      <c r="C86" s="67"/>
      <c r="D86" s="67"/>
      <c r="E86" s="67"/>
      <c r="G86" s="67"/>
      <c r="H86" s="74" t="s">
        <v>157</v>
      </c>
      <c r="I86" s="67"/>
      <c r="J86" s="67"/>
      <c r="K86" s="68"/>
      <c r="L86" s="69"/>
      <c r="M86" s="68"/>
      <c r="O86" s="77" t="s">
        <v>158</v>
      </c>
      <c r="Q86" s="8"/>
      <c r="R86" s="66"/>
    </row>
    <row r="87" spans="1:19" ht="23.1" customHeight="1">
      <c r="A87" s="74" t="s">
        <v>159</v>
      </c>
      <c r="B87" s="67"/>
      <c r="C87" s="67"/>
      <c r="D87" s="67"/>
      <c r="E87" s="67"/>
      <c r="G87" s="67"/>
      <c r="H87" s="74" t="s">
        <v>160</v>
      </c>
      <c r="I87" s="67"/>
      <c r="J87" s="67"/>
      <c r="K87" s="68"/>
      <c r="L87" s="69"/>
      <c r="M87" s="68"/>
      <c r="O87" s="77" t="s">
        <v>161</v>
      </c>
      <c r="Q87" s="70"/>
      <c r="R87" s="70"/>
    </row>
    <row r="88" spans="1:19" ht="23.1" customHeight="1">
      <c r="A88" s="75" t="s">
        <v>162</v>
      </c>
      <c r="C88" s="67"/>
      <c r="D88" s="67"/>
      <c r="E88" s="67"/>
      <c r="G88" s="67"/>
      <c r="H88" s="74" t="s">
        <v>163</v>
      </c>
      <c r="I88" s="67"/>
      <c r="J88" s="67"/>
      <c r="K88" s="68"/>
      <c r="L88" s="69"/>
      <c r="M88" s="68"/>
      <c r="O88" s="8"/>
      <c r="P88" s="71"/>
      <c r="Q88" s="70"/>
      <c r="R88" s="70"/>
    </row>
    <row r="89" spans="1:19" ht="23.1" customHeight="1">
      <c r="A89" s="75" t="s">
        <v>164</v>
      </c>
      <c r="C89" s="67"/>
      <c r="D89" s="67"/>
      <c r="E89" s="67"/>
      <c r="G89" s="67"/>
      <c r="H89" s="74" t="s">
        <v>165</v>
      </c>
      <c r="I89" s="67"/>
      <c r="J89" s="67"/>
      <c r="K89" s="68"/>
      <c r="L89" s="69"/>
      <c r="M89" s="68"/>
      <c r="N89" s="64"/>
      <c r="O89" s="71"/>
      <c r="P89" s="72"/>
      <c r="Q89" s="70"/>
      <c r="R89" s="70"/>
    </row>
    <row r="90" spans="1:19" s="66" customFormat="1" ht="23.1" customHeight="1">
      <c r="A90" s="75" t="s">
        <v>166</v>
      </c>
      <c r="C90" s="67"/>
      <c r="D90" s="67"/>
      <c r="E90" s="67"/>
      <c r="G90" s="67"/>
      <c r="H90" s="74" t="s">
        <v>167</v>
      </c>
      <c r="I90" s="71"/>
      <c r="J90" s="71"/>
      <c r="K90" s="71"/>
      <c r="L90" s="64"/>
      <c r="M90" s="71"/>
      <c r="N90" s="73"/>
      <c r="O90" s="72"/>
      <c r="P90" s="72"/>
      <c r="R90" s="8"/>
      <c r="S90" s="8"/>
    </row>
    <row r="91" spans="1:19" s="66" customFormat="1" ht="23.1" customHeight="1">
      <c r="A91" s="74" t="s">
        <v>168</v>
      </c>
      <c r="B91" s="67"/>
      <c r="C91" s="67"/>
      <c r="D91" s="67"/>
      <c r="E91" s="67"/>
      <c r="G91" s="67"/>
      <c r="H91" s="74" t="s">
        <v>169</v>
      </c>
      <c r="I91" s="72"/>
      <c r="J91" s="72"/>
      <c r="K91" s="72"/>
      <c r="L91" s="73"/>
      <c r="M91" s="72"/>
      <c r="N91" s="73"/>
      <c r="O91" s="72"/>
      <c r="P91" s="8"/>
      <c r="R91" s="8"/>
      <c r="S91" s="8"/>
    </row>
    <row r="92" spans="1:19" s="66" customFormat="1" ht="23.1" customHeight="1">
      <c r="A92" s="74" t="s">
        <v>170</v>
      </c>
      <c r="B92" s="67"/>
      <c r="C92" s="67"/>
      <c r="D92" s="67"/>
      <c r="E92" s="67"/>
      <c r="G92" s="67"/>
      <c r="H92" s="74" t="s">
        <v>171</v>
      </c>
      <c r="I92" s="67"/>
      <c r="J92" s="67"/>
      <c r="K92" s="68"/>
      <c r="L92" s="69"/>
      <c r="M92" s="68"/>
      <c r="N92" s="16"/>
      <c r="O92" s="8"/>
      <c r="P92" s="8"/>
      <c r="R92" s="8"/>
      <c r="S92" s="8"/>
    </row>
    <row r="93" spans="1:19" s="66" customFormat="1" ht="23.1" customHeight="1">
      <c r="A93" s="74" t="s">
        <v>172</v>
      </c>
      <c r="B93" s="67"/>
      <c r="C93" s="67"/>
      <c r="D93" s="67"/>
      <c r="E93" s="67"/>
      <c r="G93" s="67"/>
      <c r="H93" s="74" t="s">
        <v>173</v>
      </c>
      <c r="I93" s="67"/>
      <c r="J93" s="8"/>
      <c r="K93" s="68"/>
      <c r="L93" s="69"/>
      <c r="M93" s="68"/>
      <c r="N93" s="16"/>
      <c r="O93" s="8"/>
      <c r="P93" s="8"/>
      <c r="R93" s="8"/>
      <c r="S93" s="8"/>
    </row>
    <row r="94" spans="1:19" s="66" customFormat="1" ht="23.1" customHeight="1">
      <c r="A94" s="74" t="s">
        <v>174</v>
      </c>
      <c r="B94" s="67"/>
      <c r="C94" s="67"/>
      <c r="D94" s="67"/>
      <c r="E94" s="50"/>
      <c r="G94" s="74" t="s">
        <v>175</v>
      </c>
      <c r="H94" s="67"/>
      <c r="I94" s="67"/>
      <c r="J94" s="8"/>
      <c r="K94" s="68"/>
      <c r="L94" s="69"/>
      <c r="M94" s="68"/>
      <c r="N94" s="16"/>
      <c r="O94" s="8"/>
      <c r="P94" s="8"/>
      <c r="R94" s="8"/>
      <c r="S94" s="8"/>
    </row>
    <row r="95" spans="1:19" s="66" customFormat="1" ht="23.1" customHeight="1">
      <c r="A95" s="74" t="s">
        <v>176</v>
      </c>
      <c r="B95" s="67"/>
      <c r="C95" s="67"/>
      <c r="D95" s="67"/>
      <c r="E95" s="50"/>
      <c r="G95" s="74" t="s">
        <v>177</v>
      </c>
      <c r="H95" s="67"/>
      <c r="I95" s="67"/>
      <c r="J95" s="67"/>
      <c r="K95" s="68"/>
      <c r="L95" s="69"/>
      <c r="M95" s="68"/>
      <c r="N95" s="16"/>
      <c r="O95" s="8"/>
      <c r="P95" s="8"/>
      <c r="R95" s="8"/>
      <c r="S95" s="8"/>
    </row>
    <row r="96" spans="1:19" s="66" customFormat="1" ht="23.1" customHeight="1">
      <c r="A96" s="75" t="s">
        <v>178</v>
      </c>
      <c r="C96" s="67"/>
      <c r="D96" s="67"/>
      <c r="E96" s="50"/>
      <c r="G96" s="74" t="s">
        <v>179</v>
      </c>
      <c r="H96" s="67"/>
      <c r="I96" s="67"/>
      <c r="J96" s="67"/>
      <c r="K96" s="68"/>
      <c r="L96" s="69"/>
      <c r="M96" s="68"/>
      <c r="N96" s="16"/>
      <c r="O96" s="8"/>
      <c r="P96" s="8"/>
      <c r="R96" s="8"/>
      <c r="S96" s="8"/>
    </row>
    <row r="97" spans="1:19" s="66" customFormat="1" ht="23.1" customHeight="1">
      <c r="A97" s="75" t="s">
        <v>180</v>
      </c>
      <c r="C97" s="67"/>
      <c r="D97" s="67"/>
      <c r="E97" s="50"/>
      <c r="G97" s="74" t="s">
        <v>181</v>
      </c>
      <c r="J97" s="68"/>
      <c r="K97" s="68"/>
      <c r="L97" s="69"/>
      <c r="M97" s="8"/>
      <c r="N97" s="16"/>
      <c r="O97" s="8"/>
      <c r="P97" s="8"/>
      <c r="R97" s="8"/>
      <c r="S97" s="8"/>
    </row>
    <row r="98" spans="1:19" s="66" customFormat="1" ht="23.1" customHeight="1">
      <c r="A98" s="75" t="s">
        <v>182</v>
      </c>
      <c r="C98" s="67"/>
      <c r="D98" s="67"/>
      <c r="E98" s="50"/>
      <c r="G98" s="74" t="s">
        <v>183</v>
      </c>
      <c r="J98" s="68"/>
      <c r="K98" s="68"/>
      <c r="L98" s="69"/>
      <c r="M98" s="8"/>
      <c r="N98" s="16"/>
      <c r="O98" s="8"/>
      <c r="P98" s="8"/>
      <c r="R98" s="8"/>
      <c r="S98" s="8"/>
    </row>
    <row r="99" spans="1:19" s="66" customFormat="1" ht="23.1" customHeight="1">
      <c r="A99" s="74" t="s">
        <v>184</v>
      </c>
      <c r="B99" s="67"/>
      <c r="E99" s="67"/>
      <c r="F99" s="67"/>
      <c r="G99" s="67"/>
      <c r="J99" s="68"/>
      <c r="K99" s="68"/>
      <c r="L99" s="69"/>
      <c r="M99" s="8"/>
      <c r="N99" s="16"/>
      <c r="O99" s="8"/>
      <c r="P99" s="8"/>
      <c r="R99" s="8"/>
      <c r="S99" s="8"/>
    </row>
    <row r="100" spans="1:19" s="66" customFormat="1" ht="23.1" customHeight="1">
      <c r="A100" s="78" t="s">
        <v>185</v>
      </c>
      <c r="C100" s="67"/>
      <c r="D100" s="67"/>
      <c r="E100" s="67"/>
      <c r="F100" s="67"/>
      <c r="G100" s="67"/>
      <c r="H100" s="67"/>
      <c r="I100" s="67"/>
      <c r="J100" s="68"/>
      <c r="K100" s="68"/>
      <c r="L100" s="69"/>
      <c r="M100" s="8"/>
      <c r="N100" s="16"/>
      <c r="O100" s="8"/>
      <c r="P100" s="8"/>
      <c r="R100" s="8"/>
      <c r="S100" s="8"/>
    </row>
    <row r="101" spans="1:19" s="66" customFormat="1" ht="23.1" customHeight="1">
      <c r="A101" s="78" t="s">
        <v>186</v>
      </c>
      <c r="C101" s="8"/>
      <c r="D101" s="67"/>
      <c r="E101" s="68"/>
      <c r="F101" s="67"/>
      <c r="G101" s="67"/>
      <c r="H101" s="67"/>
      <c r="I101" s="67"/>
      <c r="J101" s="68"/>
      <c r="K101" s="68"/>
      <c r="L101" s="69"/>
      <c r="M101" s="8"/>
      <c r="N101" s="16"/>
      <c r="O101" s="50"/>
      <c r="P101" s="8"/>
      <c r="R101" s="8"/>
      <c r="S101" s="8"/>
    </row>
    <row r="102" spans="1:19" ht="23.1" customHeight="1">
      <c r="A102" s="78" t="s">
        <v>187</v>
      </c>
    </row>
    <row r="103" spans="1:19" ht="23.1" customHeight="1">
      <c r="A103" s="78" t="s">
        <v>188</v>
      </c>
    </row>
  </sheetData>
  <mergeCells count="35">
    <mergeCell ref="A81:S81"/>
    <mergeCell ref="N4:N5"/>
    <mergeCell ref="O4:O5"/>
    <mergeCell ref="P4:P5"/>
    <mergeCell ref="Q4:Q5"/>
    <mergeCell ref="R4:R5"/>
    <mergeCell ref="I4:I5"/>
    <mergeCell ref="J4:J5"/>
    <mergeCell ref="K4:K5"/>
    <mergeCell ref="L4:L5"/>
    <mergeCell ref="M4:M5"/>
    <mergeCell ref="A80:S80"/>
    <mergeCell ref="A4:A5"/>
    <mergeCell ref="B4:B5"/>
    <mergeCell ref="C4:C5"/>
    <mergeCell ref="D4:F4"/>
    <mergeCell ref="A1:S1"/>
    <mergeCell ref="A2:C2"/>
    <mergeCell ref="D2:S2"/>
    <mergeCell ref="A3:C3"/>
    <mergeCell ref="D3:S3"/>
    <mergeCell ref="A71:B71"/>
    <mergeCell ref="A70:B70"/>
    <mergeCell ref="S4:S5"/>
    <mergeCell ref="H4:H5"/>
    <mergeCell ref="G4:G5"/>
    <mergeCell ref="A55:C55"/>
    <mergeCell ref="A64:C64"/>
    <mergeCell ref="A6:C6"/>
    <mergeCell ref="A13:C13"/>
    <mergeCell ref="A20:C20"/>
    <mergeCell ref="A28:C28"/>
    <mergeCell ref="A36:C36"/>
    <mergeCell ref="A45:C45"/>
    <mergeCell ref="A62:B62"/>
  </mergeCells>
  <printOptions horizontalCentered="1"/>
  <pageMargins left="0.25" right="0.25" top="0.75" bottom="0.75" header="0.3" footer="0.3"/>
  <pageSetup paperSize="119" scale="59" fitToHeight="0" orientation="landscape" horizontalDpi="300" verticalDpi="300" r:id="rId1"/>
  <ignoredErrors>
    <ignoredError sqref="I13:K13 G20 I20:K20 G28:K28 G36 G55:K55 G45:K45 I36:K36 G64:K64" formula="1"/>
    <ignoredError sqref="H36" formula="1" formulaRange="1"/>
    <ignoredError sqref="A7:C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fitToPage="1"/>
  </sheetPr>
  <dimension ref="A1:AA75"/>
  <sheetViews>
    <sheetView topLeftCell="A37" zoomScale="68" zoomScaleNormal="68" zoomScaleSheetLayoutView="93" zoomScalePageLayoutView="57" workbookViewId="0">
      <selection activeCell="C71" sqref="C71"/>
    </sheetView>
  </sheetViews>
  <sheetFormatPr baseColWidth="10" defaultColWidth="11.42578125" defaultRowHeight="23.25"/>
  <cols>
    <col min="1" max="4" width="11.42578125" style="8"/>
    <col min="5" max="5" width="68" style="8" bestFit="1" customWidth="1"/>
    <col min="6" max="6" width="7.7109375" style="8" customWidth="1"/>
    <col min="7" max="7" width="6.28515625" style="66" customWidth="1"/>
    <col min="8" max="8" width="6.5703125" style="8" customWidth="1"/>
    <col min="9" max="9" width="9.85546875" style="8" bestFit="1" customWidth="1"/>
    <col min="10" max="10" width="6.7109375" style="8" customWidth="1"/>
    <col min="11" max="11" width="6.42578125" style="8" bestFit="1" customWidth="1"/>
    <col min="12" max="13" width="6.42578125" style="66" bestFit="1" customWidth="1"/>
    <col min="14" max="14" width="18.7109375" style="66" bestFit="1" customWidth="1"/>
    <col min="15" max="15" width="7.140625" style="59" bestFit="1" customWidth="1"/>
    <col min="16" max="16" width="8.5703125" style="8" bestFit="1" customWidth="1"/>
    <col min="17" max="17" width="9.5703125" style="16" bestFit="1" customWidth="1"/>
    <col min="18" max="18" width="100" style="50" bestFit="1" customWidth="1"/>
    <col min="19" max="19" width="9.7109375" style="8" customWidth="1"/>
    <col min="20" max="20" width="9.7109375" style="66" customWidth="1"/>
    <col min="21" max="21" width="9.7109375" style="8" customWidth="1"/>
    <col min="22" max="22" width="46.5703125" style="8" customWidth="1"/>
    <col min="23" max="16384" width="11.42578125" style="8"/>
  </cols>
  <sheetData>
    <row r="1" spans="1:27" ht="24.95" customHeight="1"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</row>
    <row r="2" spans="1:27" ht="24.95" customHeight="1">
      <c r="E2" s="119"/>
      <c r="F2" s="229" t="s">
        <v>2</v>
      </c>
      <c r="G2" s="229"/>
      <c r="H2" s="229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</row>
    <row r="3" spans="1:27" ht="24.95" customHeight="1">
      <c r="E3" s="119"/>
      <c r="F3" s="229" t="s">
        <v>4</v>
      </c>
      <c r="G3" s="229" t="s">
        <v>5</v>
      </c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</row>
    <row r="4" spans="1:27" ht="24.95" customHeight="1">
      <c r="E4" s="119"/>
      <c r="F4" s="232">
        <v>15</v>
      </c>
      <c r="G4" s="233"/>
      <c r="H4" s="233"/>
      <c r="I4" s="180"/>
      <c r="J4" s="184" t="s">
        <v>189</v>
      </c>
      <c r="K4" s="184" t="s">
        <v>190</v>
      </c>
      <c r="L4" s="184" t="s">
        <v>191</v>
      </c>
      <c r="M4" s="180"/>
      <c r="N4" s="180"/>
      <c r="O4" s="180"/>
      <c r="P4" s="180"/>
      <c r="Q4" s="180"/>
      <c r="R4" s="180"/>
      <c r="S4" s="180"/>
      <c r="T4" s="180"/>
      <c r="U4" s="180"/>
      <c r="V4" s="181"/>
    </row>
    <row r="5" spans="1:27" ht="24.95" customHeight="1">
      <c r="E5" s="119"/>
      <c r="F5" s="121">
        <v>5</v>
      </c>
      <c r="G5" s="232">
        <f>F5*F4</f>
        <v>75</v>
      </c>
      <c r="H5" s="234"/>
      <c r="I5" s="235"/>
      <c r="J5" s="187">
        <v>0.1</v>
      </c>
      <c r="K5" s="188">
        <v>0.1</v>
      </c>
      <c r="L5" s="188">
        <v>0.15</v>
      </c>
      <c r="M5" s="185"/>
      <c r="N5" s="185"/>
      <c r="O5" s="185"/>
      <c r="P5" s="185"/>
      <c r="Q5" s="185"/>
      <c r="R5" s="185"/>
      <c r="S5" s="185"/>
      <c r="T5" s="185"/>
      <c r="U5" s="185"/>
      <c r="V5" s="186"/>
    </row>
    <row r="6" spans="1:27" ht="24.95" customHeight="1">
      <c r="E6" s="205" t="s">
        <v>8</v>
      </c>
      <c r="F6" s="226" t="s">
        <v>9</v>
      </c>
      <c r="G6" s="226"/>
      <c r="H6" s="226"/>
      <c r="I6" s="205" t="s">
        <v>10</v>
      </c>
      <c r="J6" s="205" t="s">
        <v>11</v>
      </c>
      <c r="K6" s="226" t="s">
        <v>12</v>
      </c>
      <c r="L6" s="226" t="s">
        <v>13</v>
      </c>
      <c r="M6" s="205" t="s">
        <v>14</v>
      </c>
      <c r="N6" s="230" t="s">
        <v>192</v>
      </c>
      <c r="O6" s="205" t="s">
        <v>15</v>
      </c>
      <c r="P6" s="205" t="s">
        <v>16</v>
      </c>
      <c r="Q6" s="205" t="s">
        <v>17</v>
      </c>
      <c r="R6" s="205" t="s">
        <v>18</v>
      </c>
      <c r="S6" s="205" t="s">
        <v>19</v>
      </c>
      <c r="T6" s="205" t="s">
        <v>20</v>
      </c>
      <c r="U6" s="205" t="s">
        <v>21</v>
      </c>
      <c r="V6" s="205" t="s">
        <v>22</v>
      </c>
    </row>
    <row r="7" spans="1:27" ht="24.95" customHeight="1">
      <c r="A7" s="119" t="s">
        <v>43</v>
      </c>
      <c r="B7" s="119" t="s">
        <v>193</v>
      </c>
      <c r="C7" s="119" t="s">
        <v>27</v>
      </c>
      <c r="D7" s="119" t="s">
        <v>51</v>
      </c>
      <c r="E7" s="205"/>
      <c r="F7" s="123" t="s">
        <v>23</v>
      </c>
      <c r="G7" s="123" t="s">
        <v>24</v>
      </c>
      <c r="H7" s="123" t="s">
        <v>25</v>
      </c>
      <c r="I7" s="205"/>
      <c r="J7" s="205"/>
      <c r="K7" s="226"/>
      <c r="L7" s="226"/>
      <c r="M7" s="205"/>
      <c r="N7" s="231"/>
      <c r="O7" s="205"/>
      <c r="P7" s="205"/>
      <c r="Q7" s="205"/>
      <c r="R7" s="205"/>
      <c r="S7" s="205"/>
      <c r="T7" s="205"/>
      <c r="U7" s="205"/>
      <c r="V7" s="205"/>
      <c r="W7" s="143">
        <v>15</v>
      </c>
      <c r="X7" s="143" t="s">
        <v>43</v>
      </c>
      <c r="Y7" s="143" t="s">
        <v>193</v>
      </c>
      <c r="Z7" s="143" t="s">
        <v>27</v>
      </c>
      <c r="AA7" s="143" t="s">
        <v>51</v>
      </c>
    </row>
    <row r="8" spans="1:27" s="16" customFormat="1" ht="24.95" customHeight="1">
      <c r="A8" s="142">
        <f>SUM(A9:A73)</f>
        <v>5</v>
      </c>
      <c r="B8" s="142">
        <f t="shared" ref="B8:D8" si="0">SUM(B9:B73)</f>
        <v>2</v>
      </c>
      <c r="C8" s="142">
        <f t="shared" si="0"/>
        <v>15</v>
      </c>
      <c r="D8" s="142">
        <f t="shared" si="0"/>
        <v>32</v>
      </c>
      <c r="E8" s="119"/>
      <c r="F8" s="124">
        <f t="shared" ref="F8:M8" si="1">SUM(F9:F14)</f>
        <v>8</v>
      </c>
      <c r="G8" s="124">
        <f t="shared" si="1"/>
        <v>8</v>
      </c>
      <c r="H8" s="124">
        <f t="shared" si="1"/>
        <v>3</v>
      </c>
      <c r="I8" s="124">
        <f t="shared" si="1"/>
        <v>19</v>
      </c>
      <c r="J8" s="124">
        <f t="shared" si="1"/>
        <v>0</v>
      </c>
      <c r="K8" s="124">
        <f t="shared" si="1"/>
        <v>27</v>
      </c>
      <c r="L8" s="124">
        <f t="shared" si="1"/>
        <v>46</v>
      </c>
      <c r="M8" s="124">
        <f t="shared" si="1"/>
        <v>25</v>
      </c>
      <c r="N8" s="183">
        <f>SUM(N9:N14)</f>
        <v>1908.75</v>
      </c>
      <c r="O8" s="124"/>
      <c r="P8" s="124"/>
      <c r="Q8" s="124"/>
      <c r="R8" s="121"/>
      <c r="S8" s="119"/>
      <c r="T8" s="119"/>
      <c r="U8" s="119"/>
      <c r="V8" s="119"/>
      <c r="W8" s="144">
        <f>SUM(W9:W73)</f>
        <v>2895</v>
      </c>
      <c r="X8" s="144">
        <f t="shared" ref="X8:AA8" si="2">SUM(X9:X73)</f>
        <v>180</v>
      </c>
      <c r="Y8" s="144">
        <f t="shared" si="2"/>
        <v>105</v>
      </c>
      <c r="Z8" s="144">
        <f t="shared" si="2"/>
        <v>810</v>
      </c>
      <c r="AA8" s="144">
        <f t="shared" si="2"/>
        <v>1800</v>
      </c>
    </row>
    <row r="9" spans="1:27" ht="23.1" customHeight="1">
      <c r="A9" s="13"/>
      <c r="B9" s="13"/>
      <c r="C9" s="13">
        <v>1</v>
      </c>
      <c r="D9" s="13"/>
      <c r="E9" s="11" t="s">
        <v>28</v>
      </c>
      <c r="F9" s="10">
        <v>2</v>
      </c>
      <c r="G9" s="12">
        <v>2</v>
      </c>
      <c r="H9" s="13">
        <v>0</v>
      </c>
      <c r="I9" s="37">
        <f>SUM(F9:H9)</f>
        <v>4</v>
      </c>
      <c r="J9" s="37">
        <v>0</v>
      </c>
      <c r="K9" s="37">
        <f>(F9*2)+(G9*1)+(H9*1)</f>
        <v>6</v>
      </c>
      <c r="L9" s="38">
        <f>I9+K9</f>
        <v>10</v>
      </c>
      <c r="M9" s="38">
        <f>ROUND((($F9*1.5)+$G9+$H9),0)</f>
        <v>5</v>
      </c>
      <c r="N9" s="182">
        <f>$M9*$G$5*(1+IF($Q9="TA-7",$J$5,IF($Q9="TA-8",$K$5,IF($Q9="TA-9",$L$5,0))))</f>
        <v>375</v>
      </c>
      <c r="O9" s="125" t="s">
        <v>29</v>
      </c>
      <c r="P9" s="7" t="s">
        <v>30</v>
      </c>
      <c r="Q9" s="125" t="s">
        <v>31</v>
      </c>
      <c r="R9" s="11" t="s">
        <v>32</v>
      </c>
      <c r="S9" s="13"/>
      <c r="T9" s="11"/>
      <c r="U9" s="35" t="s">
        <v>33</v>
      </c>
      <c r="V9" s="35" t="s">
        <v>34</v>
      </c>
      <c r="W9" s="122">
        <f t="shared" ref="W9:W72" si="3">I9*$W$7</f>
        <v>60</v>
      </c>
      <c r="X9" s="122">
        <f t="shared" ref="X9:X72" si="4">W9*$A9</f>
        <v>0</v>
      </c>
      <c r="Y9" s="122">
        <f t="shared" ref="Y9:Y72" si="5">W9*$B9</f>
        <v>0</v>
      </c>
      <c r="Z9" s="122">
        <f t="shared" ref="Z9:Z72" si="6">W9*$C9</f>
        <v>60</v>
      </c>
      <c r="AA9" s="122">
        <f t="shared" ref="AA9:AA72" si="7">W9*$D9</f>
        <v>0</v>
      </c>
    </row>
    <row r="10" spans="1:27" ht="23.1" customHeight="1">
      <c r="A10" s="13"/>
      <c r="B10" s="13">
        <v>1</v>
      </c>
      <c r="C10" s="13"/>
      <c r="D10" s="13"/>
      <c r="E10" s="126" t="s">
        <v>36</v>
      </c>
      <c r="F10" s="32">
        <v>3</v>
      </c>
      <c r="G10" s="32">
        <v>0</v>
      </c>
      <c r="H10" s="33">
        <v>0</v>
      </c>
      <c r="I10" s="37">
        <f t="shared" ref="I10:I14" si="8">SUM(F10:H10)</f>
        <v>3</v>
      </c>
      <c r="J10" s="37">
        <v>0</v>
      </c>
      <c r="K10" s="37">
        <f t="shared" ref="K10:K14" si="9">(F10*2)+(G10*1)+(H10*1)</f>
        <v>6</v>
      </c>
      <c r="L10" s="38">
        <f t="shared" ref="L10:L14" si="10">I10+K10</f>
        <v>9</v>
      </c>
      <c r="M10" s="38">
        <f t="shared" ref="M10:M14" si="11">ROUND((($F10*1.5)+$G10+$H10),0)</f>
        <v>5</v>
      </c>
      <c r="N10" s="182">
        <f t="shared" ref="N10:N13" si="12">$M10*$G$5*(1+IF($Q10="TA-7",$J$5,IF($Q10="TA-8",$K$5,IF($Q10="TA-9",$L$5,0))))</f>
        <v>375</v>
      </c>
      <c r="O10" s="31" t="s">
        <v>29</v>
      </c>
      <c r="P10" s="34" t="s">
        <v>30</v>
      </c>
      <c r="Q10" s="31" t="s">
        <v>37</v>
      </c>
      <c r="R10" s="127" t="s">
        <v>32</v>
      </c>
      <c r="S10" s="29"/>
      <c r="T10" s="35" t="s">
        <v>33</v>
      </c>
      <c r="U10" s="36"/>
      <c r="V10" s="198" t="s">
        <v>230</v>
      </c>
      <c r="W10" s="122">
        <f t="shared" si="3"/>
        <v>45</v>
      </c>
      <c r="X10" s="122">
        <f t="shared" si="4"/>
        <v>0</v>
      </c>
      <c r="Y10" s="122">
        <f t="shared" si="5"/>
        <v>45</v>
      </c>
      <c r="Z10" s="122">
        <f t="shared" si="6"/>
        <v>0</v>
      </c>
      <c r="AA10" s="122">
        <f t="shared" si="7"/>
        <v>0</v>
      </c>
    </row>
    <row r="11" spans="1:27" ht="23.1" customHeight="1">
      <c r="A11" s="13"/>
      <c r="B11" s="13"/>
      <c r="C11" s="13">
        <v>1</v>
      </c>
      <c r="D11" s="13"/>
      <c r="E11" s="11" t="s">
        <v>38</v>
      </c>
      <c r="F11" s="10">
        <v>1</v>
      </c>
      <c r="G11" s="12">
        <v>2</v>
      </c>
      <c r="H11" s="13">
        <v>0</v>
      </c>
      <c r="I11" s="37">
        <f t="shared" si="8"/>
        <v>3</v>
      </c>
      <c r="J11" s="37">
        <v>0</v>
      </c>
      <c r="K11" s="37">
        <f t="shared" si="9"/>
        <v>4</v>
      </c>
      <c r="L11" s="38">
        <f t="shared" si="10"/>
        <v>7</v>
      </c>
      <c r="M11" s="38">
        <f t="shared" si="11"/>
        <v>4</v>
      </c>
      <c r="N11" s="182">
        <f t="shared" si="12"/>
        <v>300</v>
      </c>
      <c r="O11" s="125" t="s">
        <v>29</v>
      </c>
      <c r="P11" s="7" t="s">
        <v>30</v>
      </c>
      <c r="Q11" s="125" t="s">
        <v>31</v>
      </c>
      <c r="R11" s="11" t="s">
        <v>32</v>
      </c>
      <c r="S11" s="13"/>
      <c r="T11" s="11"/>
      <c r="U11" s="35" t="s">
        <v>33</v>
      </c>
      <c r="V11" s="199" t="s">
        <v>231</v>
      </c>
      <c r="W11" s="122">
        <f t="shared" si="3"/>
        <v>45</v>
      </c>
      <c r="X11" s="122">
        <f t="shared" si="4"/>
        <v>0</v>
      </c>
      <c r="Y11" s="122">
        <f t="shared" si="5"/>
        <v>0</v>
      </c>
      <c r="Z11" s="122">
        <f t="shared" si="6"/>
        <v>45</v>
      </c>
      <c r="AA11" s="122">
        <f t="shared" si="7"/>
        <v>0</v>
      </c>
    </row>
    <row r="12" spans="1:27" ht="23.1" customHeight="1">
      <c r="A12" s="13"/>
      <c r="B12" s="13"/>
      <c r="C12" s="13">
        <v>1</v>
      </c>
      <c r="D12" s="13"/>
      <c r="E12" s="29" t="s">
        <v>40</v>
      </c>
      <c r="F12" s="30">
        <v>0</v>
      </c>
      <c r="G12" s="30">
        <v>0</v>
      </c>
      <c r="H12" s="13">
        <v>3</v>
      </c>
      <c r="I12" s="37">
        <f t="shared" si="8"/>
        <v>3</v>
      </c>
      <c r="J12" s="37">
        <v>0</v>
      </c>
      <c r="K12" s="37">
        <f t="shared" si="9"/>
        <v>3</v>
      </c>
      <c r="L12" s="38">
        <f t="shared" si="10"/>
        <v>6</v>
      </c>
      <c r="M12" s="38">
        <f t="shared" si="11"/>
        <v>3</v>
      </c>
      <c r="N12" s="182">
        <f t="shared" si="12"/>
        <v>258.75</v>
      </c>
      <c r="O12" s="31" t="s">
        <v>41</v>
      </c>
      <c r="P12" s="31" t="s">
        <v>30</v>
      </c>
      <c r="Q12" s="125" t="s">
        <v>42</v>
      </c>
      <c r="R12" s="11" t="s">
        <v>32</v>
      </c>
      <c r="S12" s="35"/>
      <c r="T12" s="35"/>
      <c r="U12" s="35" t="s">
        <v>33</v>
      </c>
      <c r="V12" s="199" t="s">
        <v>232</v>
      </c>
      <c r="W12" s="122">
        <f t="shared" si="3"/>
        <v>45</v>
      </c>
      <c r="X12" s="122">
        <f t="shared" si="4"/>
        <v>0</v>
      </c>
      <c r="Y12" s="122">
        <f t="shared" si="5"/>
        <v>0</v>
      </c>
      <c r="Z12" s="122">
        <f t="shared" si="6"/>
        <v>45</v>
      </c>
      <c r="AA12" s="122">
        <f t="shared" si="7"/>
        <v>0</v>
      </c>
    </row>
    <row r="13" spans="1:27" ht="23.1" customHeight="1">
      <c r="A13" s="13">
        <v>1</v>
      </c>
      <c r="B13" s="13"/>
      <c r="C13" s="13"/>
      <c r="D13" s="13"/>
      <c r="E13" s="11" t="s">
        <v>44</v>
      </c>
      <c r="F13" s="10">
        <v>1</v>
      </c>
      <c r="G13" s="12">
        <v>3</v>
      </c>
      <c r="H13" s="13">
        <v>0</v>
      </c>
      <c r="I13" s="37">
        <f t="shared" si="8"/>
        <v>4</v>
      </c>
      <c r="J13" s="37">
        <v>0</v>
      </c>
      <c r="K13" s="37">
        <f t="shared" si="9"/>
        <v>5</v>
      </c>
      <c r="L13" s="38">
        <f t="shared" si="10"/>
        <v>9</v>
      </c>
      <c r="M13" s="38">
        <f t="shared" si="11"/>
        <v>5</v>
      </c>
      <c r="N13" s="182">
        <f t="shared" si="12"/>
        <v>375</v>
      </c>
      <c r="O13" s="125" t="s">
        <v>29</v>
      </c>
      <c r="P13" s="7" t="s">
        <v>30</v>
      </c>
      <c r="Q13" s="125" t="s">
        <v>45</v>
      </c>
      <c r="R13" s="11" t="s">
        <v>32</v>
      </c>
      <c r="S13" s="13" t="s">
        <v>33</v>
      </c>
      <c r="T13" s="11"/>
      <c r="U13" s="35"/>
      <c r="V13" s="35" t="s">
        <v>46</v>
      </c>
      <c r="W13" s="122">
        <f t="shared" si="3"/>
        <v>60</v>
      </c>
      <c r="X13" s="122">
        <f t="shared" si="4"/>
        <v>60</v>
      </c>
      <c r="Y13" s="122">
        <f t="shared" si="5"/>
        <v>0</v>
      </c>
      <c r="Z13" s="122">
        <f t="shared" si="6"/>
        <v>0</v>
      </c>
      <c r="AA13" s="122">
        <f t="shared" si="7"/>
        <v>0</v>
      </c>
    </row>
    <row r="14" spans="1:27" ht="23.1" customHeight="1">
      <c r="A14" s="13">
        <v>1</v>
      </c>
      <c r="B14" s="13"/>
      <c r="C14" s="13"/>
      <c r="D14" s="13"/>
      <c r="E14" s="11" t="s">
        <v>47</v>
      </c>
      <c r="F14" s="10">
        <v>1</v>
      </c>
      <c r="G14" s="12">
        <v>1</v>
      </c>
      <c r="H14" s="13">
        <v>0</v>
      </c>
      <c r="I14" s="37">
        <f t="shared" si="8"/>
        <v>2</v>
      </c>
      <c r="J14" s="37">
        <v>0</v>
      </c>
      <c r="K14" s="37">
        <f t="shared" si="9"/>
        <v>3</v>
      </c>
      <c r="L14" s="38">
        <f t="shared" si="10"/>
        <v>5</v>
      </c>
      <c r="M14" s="38">
        <f t="shared" si="11"/>
        <v>3</v>
      </c>
      <c r="N14" s="182">
        <f>$M14*$G$5*(1+IF($Q14="TA-7",$J$5,IF($Q14="TA-8",$K$5,IF($Q14="TA-9",$L$5,0))))</f>
        <v>225</v>
      </c>
      <c r="O14" s="125" t="s">
        <v>29</v>
      </c>
      <c r="P14" s="7" t="s">
        <v>30</v>
      </c>
      <c r="Q14" s="125" t="s">
        <v>37</v>
      </c>
      <c r="R14" s="11" t="s">
        <v>32</v>
      </c>
      <c r="S14" s="13" t="s">
        <v>33</v>
      </c>
      <c r="T14" s="11"/>
      <c r="U14" s="35"/>
      <c r="V14" s="35" t="s">
        <v>46</v>
      </c>
      <c r="W14" s="122">
        <f t="shared" si="3"/>
        <v>30</v>
      </c>
      <c r="X14" s="122">
        <f t="shared" si="4"/>
        <v>30</v>
      </c>
      <c r="Y14" s="122">
        <f t="shared" si="5"/>
        <v>0</v>
      </c>
      <c r="Z14" s="122">
        <f t="shared" si="6"/>
        <v>0</v>
      </c>
      <c r="AA14" s="122">
        <f t="shared" si="7"/>
        <v>0</v>
      </c>
    </row>
    <row r="15" spans="1:27" s="16" customFormat="1" ht="23.1" customHeight="1">
      <c r="A15" s="119"/>
      <c r="B15" s="119"/>
      <c r="C15" s="119"/>
      <c r="D15" s="119"/>
      <c r="E15" s="119"/>
      <c r="F15" s="124">
        <f>SUM(F16:F21)</f>
        <v>9</v>
      </c>
      <c r="G15" s="124">
        <f t="shared" ref="G15:M15" si="13">SUM(G16:G21)</f>
        <v>12</v>
      </c>
      <c r="H15" s="124">
        <f t="shared" si="13"/>
        <v>5</v>
      </c>
      <c r="I15" s="124">
        <f t="shared" si="13"/>
        <v>26</v>
      </c>
      <c r="J15" s="124">
        <f t="shared" si="13"/>
        <v>0</v>
      </c>
      <c r="K15" s="124">
        <f t="shared" si="13"/>
        <v>35</v>
      </c>
      <c r="L15" s="124">
        <f t="shared" si="13"/>
        <v>61</v>
      </c>
      <c r="M15" s="124">
        <f t="shared" si="13"/>
        <v>31</v>
      </c>
      <c r="N15" s="183">
        <f>SUM(N16:N21)</f>
        <v>2437.5</v>
      </c>
      <c r="O15" s="128"/>
      <c r="P15" s="128"/>
      <c r="Q15" s="128"/>
      <c r="R15" s="129"/>
      <c r="S15" s="130"/>
      <c r="T15" s="130"/>
      <c r="U15" s="130"/>
      <c r="V15" s="131"/>
    </row>
    <row r="16" spans="1:27" ht="23.1" customHeight="1">
      <c r="A16" s="13"/>
      <c r="B16" s="13"/>
      <c r="C16" s="13">
        <v>1</v>
      </c>
      <c r="D16" s="13"/>
      <c r="E16" s="11" t="s">
        <v>49</v>
      </c>
      <c r="F16" s="10">
        <v>2</v>
      </c>
      <c r="G16" s="12">
        <v>3</v>
      </c>
      <c r="H16" s="13">
        <v>0</v>
      </c>
      <c r="I16" s="13">
        <f t="shared" ref="I16:I21" si="14">SUM(F16:H16)</f>
        <v>5</v>
      </c>
      <c r="J16" s="13">
        <v>0</v>
      </c>
      <c r="K16" s="13">
        <f t="shared" ref="K16:K21" si="15">(F16*2)+(G16*1)+(H16*1)</f>
        <v>7</v>
      </c>
      <c r="L16" s="14">
        <f t="shared" ref="L16:L21" si="16">I16+K16</f>
        <v>12</v>
      </c>
      <c r="M16" s="14">
        <f>ROUND((($F16*1.5)+$G16+$H16),0)</f>
        <v>6</v>
      </c>
      <c r="N16" s="182">
        <f>$M16*$G$5*(1+IF($Q16="TA-7",$J$5,IF($Q16="TA-8",$K$5,IF($Q16="TA-9",$L$5,0))))</f>
        <v>450</v>
      </c>
      <c r="O16" s="125" t="s">
        <v>29</v>
      </c>
      <c r="P16" s="7" t="s">
        <v>30</v>
      </c>
      <c r="Q16" s="125" t="s">
        <v>31</v>
      </c>
      <c r="R16" s="11" t="s">
        <v>28</v>
      </c>
      <c r="S16" s="13"/>
      <c r="T16" s="11"/>
      <c r="U16" s="35" t="s">
        <v>33</v>
      </c>
      <c r="V16" s="35" t="s">
        <v>34</v>
      </c>
      <c r="W16" s="122">
        <f t="shared" si="3"/>
        <v>75</v>
      </c>
      <c r="X16" s="122">
        <f t="shared" si="4"/>
        <v>0</v>
      </c>
      <c r="Y16" s="122">
        <f t="shared" si="5"/>
        <v>0</v>
      </c>
      <c r="Z16" s="122">
        <f t="shared" si="6"/>
        <v>75</v>
      </c>
      <c r="AA16" s="122">
        <f t="shared" si="7"/>
        <v>0</v>
      </c>
    </row>
    <row r="17" spans="1:27" ht="23.1" customHeight="1">
      <c r="A17" s="13"/>
      <c r="B17" s="13"/>
      <c r="C17" s="13">
        <v>1</v>
      </c>
      <c r="D17" s="13"/>
      <c r="E17" s="11" t="s">
        <v>50</v>
      </c>
      <c r="F17" s="10">
        <v>2</v>
      </c>
      <c r="G17" s="12">
        <v>3</v>
      </c>
      <c r="H17" s="13">
        <v>0</v>
      </c>
      <c r="I17" s="13">
        <f t="shared" si="14"/>
        <v>5</v>
      </c>
      <c r="J17" s="13">
        <v>0</v>
      </c>
      <c r="K17" s="13">
        <f t="shared" si="15"/>
        <v>7</v>
      </c>
      <c r="L17" s="14">
        <f t="shared" si="16"/>
        <v>12</v>
      </c>
      <c r="M17" s="14">
        <f t="shared" ref="M17:M21" si="17">ROUND((($F17*1.5)+$G17+$H17),0)</f>
        <v>6</v>
      </c>
      <c r="N17" s="182">
        <f t="shared" ref="N17:N20" si="18">$M17*$G$5*(1+IF($Q17="TA-7",$J$5,IF($Q17="TA-8",$K$5,IF($Q17="TA-9",$L$5,0))))</f>
        <v>450</v>
      </c>
      <c r="O17" s="125" t="s">
        <v>29</v>
      </c>
      <c r="P17" s="7" t="s">
        <v>30</v>
      </c>
      <c r="Q17" s="125" t="s">
        <v>31</v>
      </c>
      <c r="R17" s="11" t="s">
        <v>28</v>
      </c>
      <c r="S17" s="13"/>
      <c r="T17" s="11"/>
      <c r="U17" s="35" t="s">
        <v>33</v>
      </c>
      <c r="V17" s="35" t="s">
        <v>34</v>
      </c>
      <c r="W17" s="122">
        <f t="shared" si="3"/>
        <v>75</v>
      </c>
      <c r="X17" s="122">
        <f t="shared" si="4"/>
        <v>0</v>
      </c>
      <c r="Y17" s="122">
        <f t="shared" si="5"/>
        <v>0</v>
      </c>
      <c r="Z17" s="122">
        <f t="shared" si="6"/>
        <v>75</v>
      </c>
      <c r="AA17" s="122">
        <f t="shared" si="7"/>
        <v>0</v>
      </c>
    </row>
    <row r="18" spans="1:27" ht="23.1" customHeight="1">
      <c r="A18" s="13"/>
      <c r="B18" s="13"/>
      <c r="C18" s="13"/>
      <c r="D18" s="13">
        <v>1</v>
      </c>
      <c r="E18" s="11" t="s">
        <v>52</v>
      </c>
      <c r="F18" s="10">
        <v>2</v>
      </c>
      <c r="G18" s="12">
        <v>3</v>
      </c>
      <c r="H18" s="13">
        <v>0</v>
      </c>
      <c r="I18" s="13">
        <f t="shared" si="14"/>
        <v>5</v>
      </c>
      <c r="J18" s="13">
        <v>0</v>
      </c>
      <c r="K18" s="13">
        <f t="shared" si="15"/>
        <v>7</v>
      </c>
      <c r="L18" s="14">
        <f t="shared" si="16"/>
        <v>12</v>
      </c>
      <c r="M18" s="14">
        <f t="shared" si="17"/>
        <v>6</v>
      </c>
      <c r="N18" s="182">
        <f t="shared" si="18"/>
        <v>450</v>
      </c>
      <c r="O18" s="125" t="s">
        <v>29</v>
      </c>
      <c r="P18" s="7" t="s">
        <v>30</v>
      </c>
      <c r="Q18" s="125" t="s">
        <v>31</v>
      </c>
      <c r="R18" s="11" t="s">
        <v>38</v>
      </c>
      <c r="S18" s="13"/>
      <c r="T18" s="11"/>
      <c r="U18" s="35"/>
      <c r="V18" s="35"/>
      <c r="W18" s="122">
        <f t="shared" si="3"/>
        <v>75</v>
      </c>
      <c r="X18" s="122">
        <f t="shared" si="4"/>
        <v>0</v>
      </c>
      <c r="Y18" s="122">
        <f t="shared" si="5"/>
        <v>0</v>
      </c>
      <c r="Z18" s="122">
        <f t="shared" si="6"/>
        <v>0</v>
      </c>
      <c r="AA18" s="122">
        <f t="shared" si="7"/>
        <v>75</v>
      </c>
    </row>
    <row r="19" spans="1:27" ht="23.1" customHeight="1">
      <c r="A19" s="13"/>
      <c r="B19" s="13"/>
      <c r="C19" s="13"/>
      <c r="D19" s="13">
        <v>1</v>
      </c>
      <c r="E19" s="11" t="s">
        <v>53</v>
      </c>
      <c r="F19" s="10">
        <v>0</v>
      </c>
      <c r="G19" s="12">
        <v>0</v>
      </c>
      <c r="H19" s="13">
        <v>3</v>
      </c>
      <c r="I19" s="13">
        <f t="shared" si="14"/>
        <v>3</v>
      </c>
      <c r="J19" s="13">
        <v>0</v>
      </c>
      <c r="K19" s="13">
        <f t="shared" si="15"/>
        <v>3</v>
      </c>
      <c r="L19" s="14">
        <f t="shared" si="16"/>
        <v>6</v>
      </c>
      <c r="M19" s="14">
        <f t="shared" si="17"/>
        <v>3</v>
      </c>
      <c r="N19" s="182">
        <f t="shared" si="18"/>
        <v>258.75</v>
      </c>
      <c r="O19" s="125" t="s">
        <v>41</v>
      </c>
      <c r="P19" s="7" t="s">
        <v>30</v>
      </c>
      <c r="Q19" s="125" t="s">
        <v>42</v>
      </c>
      <c r="R19" s="11" t="s">
        <v>40</v>
      </c>
      <c r="S19" s="13"/>
      <c r="T19" s="11"/>
      <c r="U19" s="35"/>
      <c r="V19" s="35"/>
      <c r="W19" s="122">
        <f t="shared" si="3"/>
        <v>45</v>
      </c>
      <c r="X19" s="122">
        <f t="shared" si="4"/>
        <v>0</v>
      </c>
      <c r="Y19" s="122">
        <f t="shared" si="5"/>
        <v>0</v>
      </c>
      <c r="Z19" s="122">
        <f t="shared" si="6"/>
        <v>0</v>
      </c>
      <c r="AA19" s="122">
        <f t="shared" si="7"/>
        <v>45</v>
      </c>
    </row>
    <row r="20" spans="1:27" ht="23.1" customHeight="1">
      <c r="A20" s="13"/>
      <c r="B20" s="13"/>
      <c r="C20" s="13"/>
      <c r="D20" s="13">
        <v>1</v>
      </c>
      <c r="E20" s="11" t="s">
        <v>54</v>
      </c>
      <c r="F20" s="10">
        <v>2</v>
      </c>
      <c r="G20" s="12">
        <v>2</v>
      </c>
      <c r="H20" s="13">
        <v>2</v>
      </c>
      <c r="I20" s="13">
        <f t="shared" si="14"/>
        <v>6</v>
      </c>
      <c r="J20" s="13">
        <v>0</v>
      </c>
      <c r="K20" s="13">
        <f t="shared" si="15"/>
        <v>8</v>
      </c>
      <c r="L20" s="14">
        <f t="shared" si="16"/>
        <v>14</v>
      </c>
      <c r="M20" s="14">
        <f t="shared" si="17"/>
        <v>7</v>
      </c>
      <c r="N20" s="182">
        <f t="shared" si="18"/>
        <v>603.75</v>
      </c>
      <c r="O20" s="125" t="s">
        <v>41</v>
      </c>
      <c r="P20" s="7" t="s">
        <v>30</v>
      </c>
      <c r="Q20" s="125" t="s">
        <v>42</v>
      </c>
      <c r="R20" s="11" t="s">
        <v>55</v>
      </c>
      <c r="S20" s="13"/>
      <c r="T20" s="11"/>
      <c r="U20" s="35"/>
      <c r="V20" s="35"/>
      <c r="W20" s="122">
        <f t="shared" si="3"/>
        <v>90</v>
      </c>
      <c r="X20" s="122">
        <f t="shared" si="4"/>
        <v>0</v>
      </c>
      <c r="Y20" s="122">
        <f t="shared" si="5"/>
        <v>0</v>
      </c>
      <c r="Z20" s="122">
        <f t="shared" si="6"/>
        <v>0</v>
      </c>
      <c r="AA20" s="122">
        <f t="shared" si="7"/>
        <v>90</v>
      </c>
    </row>
    <row r="21" spans="1:27" ht="23.1" customHeight="1">
      <c r="A21" s="13">
        <v>1</v>
      </c>
      <c r="B21" s="13"/>
      <c r="C21" s="13"/>
      <c r="D21" s="13"/>
      <c r="E21" s="11" t="s">
        <v>56</v>
      </c>
      <c r="F21" s="10">
        <v>1</v>
      </c>
      <c r="G21" s="12">
        <v>1</v>
      </c>
      <c r="H21" s="13">
        <v>0</v>
      </c>
      <c r="I21" s="13">
        <f t="shared" si="14"/>
        <v>2</v>
      </c>
      <c r="J21" s="13">
        <v>0</v>
      </c>
      <c r="K21" s="13">
        <f t="shared" si="15"/>
        <v>3</v>
      </c>
      <c r="L21" s="14">
        <f t="shared" si="16"/>
        <v>5</v>
      </c>
      <c r="M21" s="14">
        <f t="shared" si="17"/>
        <v>3</v>
      </c>
      <c r="N21" s="182">
        <f>$M21*$G$5*(1+IF($Q21="TA-7",$J$5,IF($Q21="TA-8",$K$5,IF($Q21="TA-9",$L$5,0))))</f>
        <v>225</v>
      </c>
      <c r="O21" s="125" t="s">
        <v>29</v>
      </c>
      <c r="P21" s="7" t="s">
        <v>30</v>
      </c>
      <c r="Q21" s="125" t="s">
        <v>37</v>
      </c>
      <c r="R21" s="11" t="s">
        <v>47</v>
      </c>
      <c r="S21" s="13" t="s">
        <v>33</v>
      </c>
      <c r="T21" s="11"/>
      <c r="U21" s="35"/>
      <c r="V21" s="35" t="s">
        <v>46</v>
      </c>
      <c r="W21" s="122">
        <f t="shared" si="3"/>
        <v>30</v>
      </c>
      <c r="X21" s="122">
        <f t="shared" si="4"/>
        <v>30</v>
      </c>
      <c r="Y21" s="122">
        <f t="shared" si="5"/>
        <v>0</v>
      </c>
      <c r="Z21" s="122">
        <f t="shared" si="6"/>
        <v>0</v>
      </c>
      <c r="AA21" s="122">
        <f t="shared" si="7"/>
        <v>0</v>
      </c>
    </row>
    <row r="22" spans="1:27" s="16" customFormat="1" ht="23.1" customHeight="1">
      <c r="A22" s="119"/>
      <c r="B22" s="119"/>
      <c r="C22" s="119"/>
      <c r="D22" s="119"/>
      <c r="E22" s="119"/>
      <c r="F22" s="124">
        <f>SUM(F23:F29)</f>
        <v>12</v>
      </c>
      <c r="G22" s="124">
        <f t="shared" ref="G22:M22" si="19">SUM(G23:G29)</f>
        <v>12</v>
      </c>
      <c r="H22" s="124">
        <f t="shared" si="19"/>
        <v>2</v>
      </c>
      <c r="I22" s="124">
        <f t="shared" si="19"/>
        <v>26</v>
      </c>
      <c r="J22" s="124">
        <f t="shared" si="19"/>
        <v>0</v>
      </c>
      <c r="K22" s="124">
        <f t="shared" si="19"/>
        <v>38</v>
      </c>
      <c r="L22" s="124">
        <f t="shared" si="19"/>
        <v>64</v>
      </c>
      <c r="M22" s="124">
        <f t="shared" si="19"/>
        <v>33</v>
      </c>
      <c r="N22" s="183">
        <f>SUM(N23:N29)</f>
        <v>2553.75</v>
      </c>
      <c r="O22" s="128"/>
      <c r="P22" s="128"/>
      <c r="Q22" s="128"/>
      <c r="R22" s="129"/>
      <c r="S22" s="130"/>
      <c r="T22" s="130"/>
      <c r="U22" s="130"/>
      <c r="V22" s="131"/>
    </row>
    <row r="23" spans="1:27" ht="23.1" customHeight="1">
      <c r="A23" s="13"/>
      <c r="B23" s="13"/>
      <c r="C23" s="13">
        <v>1</v>
      </c>
      <c r="D23" s="13"/>
      <c r="E23" s="11" t="s">
        <v>58</v>
      </c>
      <c r="F23" s="10">
        <v>2</v>
      </c>
      <c r="G23" s="12">
        <v>2</v>
      </c>
      <c r="H23" s="13">
        <v>0</v>
      </c>
      <c r="I23" s="13">
        <f t="shared" ref="I23:I29" si="20">SUM(F23:H23)</f>
        <v>4</v>
      </c>
      <c r="J23" s="13">
        <v>0</v>
      </c>
      <c r="K23" s="13">
        <f t="shared" ref="K23:K29" si="21">(F23*2)+(G23*1)+(H23*1)</f>
        <v>6</v>
      </c>
      <c r="L23" s="14">
        <f t="shared" ref="L23:L28" si="22">I23+K23</f>
        <v>10</v>
      </c>
      <c r="M23" s="14">
        <f>ROUND((($F23*1.5)+$G23+$H23),0)</f>
        <v>5</v>
      </c>
      <c r="N23" s="182">
        <f>$M23*$G$5*(1+IF($Q23="TA-7",$J$5,IF($Q23="TA-8",$K$5,IF($Q23="TA-9",$L$5,0))))</f>
        <v>375</v>
      </c>
      <c r="O23" s="125" t="s">
        <v>29</v>
      </c>
      <c r="P23" s="7" t="s">
        <v>30</v>
      </c>
      <c r="Q23" s="125" t="s">
        <v>31</v>
      </c>
      <c r="R23" s="11" t="s">
        <v>49</v>
      </c>
      <c r="S23" s="13"/>
      <c r="T23" s="11"/>
      <c r="U23" s="35" t="s">
        <v>33</v>
      </c>
      <c r="V23" s="35" t="s">
        <v>34</v>
      </c>
      <c r="W23" s="122">
        <f t="shared" si="3"/>
        <v>60</v>
      </c>
      <c r="X23" s="122">
        <f t="shared" si="4"/>
        <v>0</v>
      </c>
      <c r="Y23" s="122">
        <f t="shared" si="5"/>
        <v>0</v>
      </c>
      <c r="Z23" s="122">
        <f t="shared" si="6"/>
        <v>60</v>
      </c>
      <c r="AA23" s="122">
        <f t="shared" si="7"/>
        <v>0</v>
      </c>
    </row>
    <row r="24" spans="1:27" ht="23.1" customHeight="1">
      <c r="A24" s="13"/>
      <c r="B24" s="13"/>
      <c r="C24" s="13">
        <v>1</v>
      </c>
      <c r="D24" s="13"/>
      <c r="E24" s="11" t="s">
        <v>59</v>
      </c>
      <c r="F24" s="10">
        <v>2</v>
      </c>
      <c r="G24" s="12">
        <v>3</v>
      </c>
      <c r="H24" s="13">
        <v>0</v>
      </c>
      <c r="I24" s="13">
        <f t="shared" si="20"/>
        <v>5</v>
      </c>
      <c r="J24" s="13">
        <v>0</v>
      </c>
      <c r="K24" s="13">
        <f t="shared" si="21"/>
        <v>7</v>
      </c>
      <c r="L24" s="14">
        <f t="shared" si="22"/>
        <v>12</v>
      </c>
      <c r="M24" s="14">
        <f t="shared" ref="M24:M29" si="23">ROUND((($F24*1.5)+$G24+$H24),0)</f>
        <v>6</v>
      </c>
      <c r="N24" s="182">
        <f t="shared" ref="N24:N29" si="24">$M24*$G$5*(1+IF($Q24="TA-7",$J$5,IF($Q24="TA-8",$K$5,IF($Q24="TA-9",$L$5,0))))</f>
        <v>450</v>
      </c>
      <c r="O24" s="125" t="s">
        <v>29</v>
      </c>
      <c r="P24" s="7" t="s">
        <v>30</v>
      </c>
      <c r="Q24" s="125" t="s">
        <v>31</v>
      </c>
      <c r="R24" s="11" t="s">
        <v>49</v>
      </c>
      <c r="S24" s="13"/>
      <c r="T24" s="11"/>
      <c r="U24" s="35" t="s">
        <v>33</v>
      </c>
      <c r="V24" s="35" t="s">
        <v>34</v>
      </c>
      <c r="W24" s="122">
        <f t="shared" si="3"/>
        <v>75</v>
      </c>
      <c r="X24" s="122">
        <f t="shared" si="4"/>
        <v>0</v>
      </c>
      <c r="Y24" s="122">
        <f t="shared" si="5"/>
        <v>0</v>
      </c>
      <c r="Z24" s="122">
        <f t="shared" si="6"/>
        <v>75</v>
      </c>
      <c r="AA24" s="122">
        <f t="shared" si="7"/>
        <v>0</v>
      </c>
    </row>
    <row r="25" spans="1:27" ht="23.1" customHeight="1">
      <c r="A25" s="13">
        <v>1</v>
      </c>
      <c r="B25" s="13"/>
      <c r="C25" s="13"/>
      <c r="D25" s="13"/>
      <c r="E25" s="11" t="s">
        <v>60</v>
      </c>
      <c r="F25" s="10">
        <v>1</v>
      </c>
      <c r="G25" s="12">
        <v>1</v>
      </c>
      <c r="H25" s="13">
        <v>0</v>
      </c>
      <c r="I25" s="37">
        <f>SUM(F25:H25)</f>
        <v>2</v>
      </c>
      <c r="J25" s="37">
        <v>0</v>
      </c>
      <c r="K25" s="37">
        <f>(F25*2)+(G25*1)+(H25*1)</f>
        <v>3</v>
      </c>
      <c r="L25" s="38">
        <f>I25+K25</f>
        <v>5</v>
      </c>
      <c r="M25" s="38">
        <f>ROUND((($F25*1.5)+$G25+$H25),0)</f>
        <v>3</v>
      </c>
      <c r="N25" s="182">
        <f t="shared" si="24"/>
        <v>225</v>
      </c>
      <c r="O25" s="125" t="s">
        <v>29</v>
      </c>
      <c r="P25" s="7" t="s">
        <v>30</v>
      </c>
      <c r="Q25" s="125" t="s">
        <v>37</v>
      </c>
      <c r="R25" s="11" t="s">
        <v>61</v>
      </c>
      <c r="S25" s="13" t="s">
        <v>33</v>
      </c>
      <c r="T25" s="11"/>
      <c r="U25" s="35"/>
      <c r="V25" s="35" t="s">
        <v>46</v>
      </c>
      <c r="W25" s="122">
        <f t="shared" si="3"/>
        <v>30</v>
      </c>
      <c r="X25" s="122">
        <f t="shared" si="4"/>
        <v>30</v>
      </c>
      <c r="Y25" s="122">
        <f t="shared" si="5"/>
        <v>0</v>
      </c>
      <c r="Z25" s="122">
        <f t="shared" si="6"/>
        <v>0</v>
      </c>
      <c r="AA25" s="122">
        <f t="shared" si="7"/>
        <v>0</v>
      </c>
    </row>
    <row r="26" spans="1:27" ht="23.1" customHeight="1">
      <c r="A26" s="13"/>
      <c r="B26" s="13"/>
      <c r="C26" s="13"/>
      <c r="D26" s="13">
        <v>1</v>
      </c>
      <c r="E26" s="11" t="s">
        <v>62</v>
      </c>
      <c r="F26" s="10">
        <v>2</v>
      </c>
      <c r="G26" s="12">
        <v>2</v>
      </c>
      <c r="H26" s="13">
        <v>2</v>
      </c>
      <c r="I26" s="13">
        <f t="shared" si="20"/>
        <v>6</v>
      </c>
      <c r="J26" s="13">
        <v>0</v>
      </c>
      <c r="K26" s="13">
        <f t="shared" si="21"/>
        <v>8</v>
      </c>
      <c r="L26" s="14">
        <f t="shared" si="22"/>
        <v>14</v>
      </c>
      <c r="M26" s="14">
        <f t="shared" si="23"/>
        <v>7</v>
      </c>
      <c r="N26" s="182">
        <f t="shared" si="24"/>
        <v>603.75</v>
      </c>
      <c r="O26" s="125" t="s">
        <v>41</v>
      </c>
      <c r="P26" s="7" t="s">
        <v>30</v>
      </c>
      <c r="Q26" s="125" t="s">
        <v>42</v>
      </c>
      <c r="R26" s="11" t="s">
        <v>63</v>
      </c>
      <c r="S26" s="13"/>
      <c r="T26" s="11"/>
      <c r="U26" s="35"/>
      <c r="V26" s="35"/>
      <c r="W26" s="122">
        <f t="shared" si="3"/>
        <v>90</v>
      </c>
      <c r="X26" s="122">
        <f t="shared" si="4"/>
        <v>0</v>
      </c>
      <c r="Y26" s="122">
        <f t="shared" si="5"/>
        <v>0</v>
      </c>
      <c r="Z26" s="122">
        <f t="shared" si="6"/>
        <v>0</v>
      </c>
      <c r="AA26" s="122">
        <f t="shared" si="7"/>
        <v>90</v>
      </c>
    </row>
    <row r="27" spans="1:27" ht="23.1" customHeight="1">
      <c r="A27" s="13"/>
      <c r="B27" s="13">
        <v>1</v>
      </c>
      <c r="C27" s="13"/>
      <c r="D27" s="13"/>
      <c r="E27" s="11" t="s">
        <v>65</v>
      </c>
      <c r="F27" s="10">
        <v>2</v>
      </c>
      <c r="G27" s="12">
        <v>2</v>
      </c>
      <c r="H27" s="13">
        <v>0</v>
      </c>
      <c r="I27" s="13">
        <f>SUM(F27:H27)</f>
        <v>4</v>
      </c>
      <c r="J27" s="13">
        <v>0</v>
      </c>
      <c r="K27" s="13">
        <f>(F27*2)+(G27*1)+(H27*1)</f>
        <v>6</v>
      </c>
      <c r="L27" s="14">
        <f>I27+K27</f>
        <v>10</v>
      </c>
      <c r="M27" s="14">
        <f>ROUND((($F27*1.5)+$G27+$H27),0)</f>
        <v>5</v>
      </c>
      <c r="N27" s="182">
        <f t="shared" si="24"/>
        <v>375</v>
      </c>
      <c r="O27" s="125" t="s">
        <v>29</v>
      </c>
      <c r="P27" s="7" t="s">
        <v>30</v>
      </c>
      <c r="Q27" s="125" t="s">
        <v>66</v>
      </c>
      <c r="R27" s="11" t="s">
        <v>67</v>
      </c>
      <c r="S27" s="13"/>
      <c r="T27" s="13" t="s">
        <v>33</v>
      </c>
      <c r="U27" s="35"/>
      <c r="V27" s="35" t="s">
        <v>68</v>
      </c>
      <c r="W27" s="122">
        <f t="shared" si="3"/>
        <v>60</v>
      </c>
      <c r="X27" s="122">
        <f t="shared" si="4"/>
        <v>0</v>
      </c>
      <c r="Y27" s="122">
        <f t="shared" si="5"/>
        <v>60</v>
      </c>
      <c r="Z27" s="122">
        <f t="shared" si="6"/>
        <v>0</v>
      </c>
      <c r="AA27" s="122">
        <f t="shared" si="7"/>
        <v>0</v>
      </c>
    </row>
    <row r="28" spans="1:27" ht="23.1" customHeight="1">
      <c r="A28" s="13"/>
      <c r="B28" s="13"/>
      <c r="C28" s="13"/>
      <c r="D28" s="13">
        <v>1</v>
      </c>
      <c r="E28" s="11" t="s">
        <v>69</v>
      </c>
      <c r="F28" s="10">
        <v>2</v>
      </c>
      <c r="G28" s="12">
        <v>1</v>
      </c>
      <c r="H28" s="13">
        <v>0</v>
      </c>
      <c r="I28" s="13">
        <f t="shared" si="20"/>
        <v>3</v>
      </c>
      <c r="J28" s="13">
        <v>0</v>
      </c>
      <c r="K28" s="13">
        <f t="shared" si="21"/>
        <v>5</v>
      </c>
      <c r="L28" s="14">
        <f t="shared" si="22"/>
        <v>8</v>
      </c>
      <c r="M28" s="14">
        <f t="shared" si="23"/>
        <v>4</v>
      </c>
      <c r="N28" s="182">
        <f t="shared" si="24"/>
        <v>300</v>
      </c>
      <c r="O28" s="125" t="s">
        <v>70</v>
      </c>
      <c r="P28" s="7" t="s">
        <v>30</v>
      </c>
      <c r="Q28" s="125" t="s">
        <v>39</v>
      </c>
      <c r="R28" s="11" t="s">
        <v>67</v>
      </c>
      <c r="S28" s="13"/>
      <c r="T28" s="11"/>
      <c r="U28" s="35"/>
      <c r="V28" s="35"/>
      <c r="W28" s="122">
        <f t="shared" si="3"/>
        <v>45</v>
      </c>
      <c r="X28" s="122">
        <f t="shared" si="4"/>
        <v>0</v>
      </c>
      <c r="Y28" s="122">
        <f t="shared" si="5"/>
        <v>0</v>
      </c>
      <c r="Z28" s="122">
        <f t="shared" si="6"/>
        <v>0</v>
      </c>
      <c r="AA28" s="122">
        <f t="shared" si="7"/>
        <v>45</v>
      </c>
    </row>
    <row r="29" spans="1:27" ht="23.1" customHeight="1">
      <c r="A29" s="13">
        <v>1</v>
      </c>
      <c r="B29" s="13"/>
      <c r="C29" s="13"/>
      <c r="D29" s="13"/>
      <c r="E29" s="11" t="s">
        <v>71</v>
      </c>
      <c r="F29" s="10">
        <v>1</v>
      </c>
      <c r="G29" s="12">
        <v>1</v>
      </c>
      <c r="H29" s="13">
        <v>0</v>
      </c>
      <c r="I29" s="13">
        <f t="shared" si="20"/>
        <v>2</v>
      </c>
      <c r="J29" s="13">
        <v>0</v>
      </c>
      <c r="K29" s="13">
        <f t="shared" si="21"/>
        <v>3</v>
      </c>
      <c r="L29" s="14">
        <f>I29+K29</f>
        <v>5</v>
      </c>
      <c r="M29" s="14">
        <f t="shared" si="23"/>
        <v>3</v>
      </c>
      <c r="N29" s="182">
        <f t="shared" si="24"/>
        <v>225</v>
      </c>
      <c r="O29" s="125" t="s">
        <v>29</v>
      </c>
      <c r="P29" s="7" t="s">
        <v>72</v>
      </c>
      <c r="Q29" s="125" t="s">
        <v>37</v>
      </c>
      <c r="R29" s="11" t="s">
        <v>67</v>
      </c>
      <c r="S29" s="13" t="s">
        <v>33</v>
      </c>
      <c r="T29" s="11"/>
      <c r="U29" s="35"/>
      <c r="V29" s="35" t="s">
        <v>46</v>
      </c>
      <c r="W29" s="122">
        <f t="shared" si="3"/>
        <v>30</v>
      </c>
      <c r="X29" s="122">
        <f t="shared" si="4"/>
        <v>30</v>
      </c>
      <c r="Y29" s="122">
        <f t="shared" si="5"/>
        <v>0</v>
      </c>
      <c r="Z29" s="122">
        <f t="shared" si="6"/>
        <v>0</v>
      </c>
      <c r="AA29" s="122">
        <f t="shared" si="7"/>
        <v>0</v>
      </c>
    </row>
    <row r="30" spans="1:27" s="16" customFormat="1" ht="23.1" customHeight="1">
      <c r="A30" s="119"/>
      <c r="B30" s="119"/>
      <c r="C30" s="119"/>
      <c r="D30" s="119"/>
      <c r="E30" s="119"/>
      <c r="F30" s="124">
        <f>SUM(F31:F37)</f>
        <v>12</v>
      </c>
      <c r="G30" s="124">
        <f t="shared" ref="G30:M30" si="25">SUM(G31:G37)</f>
        <v>10</v>
      </c>
      <c r="H30" s="124">
        <f t="shared" si="25"/>
        <v>3</v>
      </c>
      <c r="I30" s="124">
        <f t="shared" si="25"/>
        <v>25</v>
      </c>
      <c r="J30" s="124">
        <f t="shared" si="25"/>
        <v>0</v>
      </c>
      <c r="K30" s="124">
        <f t="shared" si="25"/>
        <v>37</v>
      </c>
      <c r="L30" s="124">
        <f t="shared" si="25"/>
        <v>62</v>
      </c>
      <c r="M30" s="124">
        <f t="shared" si="25"/>
        <v>31</v>
      </c>
      <c r="N30" s="183">
        <f>SUM(N31:N37)</f>
        <v>2358.75</v>
      </c>
      <c r="O30" s="128"/>
      <c r="P30" s="128"/>
      <c r="Q30" s="128"/>
      <c r="R30" s="129"/>
      <c r="S30" s="130"/>
      <c r="T30" s="130"/>
      <c r="U30" s="130"/>
      <c r="V30" s="131"/>
    </row>
    <row r="31" spans="1:27" ht="23.1" customHeight="1">
      <c r="A31" s="13"/>
      <c r="B31" s="13"/>
      <c r="C31" s="13">
        <v>1</v>
      </c>
      <c r="D31" s="13"/>
      <c r="E31" s="11" t="s">
        <v>74</v>
      </c>
      <c r="F31" s="10">
        <v>2</v>
      </c>
      <c r="G31" s="12">
        <v>2</v>
      </c>
      <c r="H31" s="13">
        <v>0</v>
      </c>
      <c r="I31" s="13">
        <f t="shared" ref="I31:I36" si="26">SUM(F31:H31)</f>
        <v>4</v>
      </c>
      <c r="J31" s="13">
        <v>0</v>
      </c>
      <c r="K31" s="13">
        <f t="shared" ref="K31:K37" si="27">(F31*2)+(G31*1)+(H31*1)</f>
        <v>6</v>
      </c>
      <c r="L31" s="14">
        <f t="shared" ref="L31:L37" si="28">I31+K31</f>
        <v>10</v>
      </c>
      <c r="M31" s="14">
        <f>ROUND((($F31*1.5)+$G31+$H31),0)</f>
        <v>5</v>
      </c>
      <c r="N31" s="182">
        <f>$M31*$G$5*(1+IF($Q31="TA-7",$J$5,IF($Q31="TA-8",$K$5,IF($Q31="TA-9",$L$5,0))))</f>
        <v>375</v>
      </c>
      <c r="O31" s="125" t="s">
        <v>29</v>
      </c>
      <c r="P31" s="7" t="s">
        <v>30</v>
      </c>
      <c r="Q31" s="125" t="s">
        <v>31</v>
      </c>
      <c r="R31" s="11" t="s">
        <v>58</v>
      </c>
      <c r="S31" s="13"/>
      <c r="T31" s="11"/>
      <c r="U31" s="35" t="s">
        <v>33</v>
      </c>
      <c r="V31" s="35" t="s">
        <v>75</v>
      </c>
      <c r="W31" s="122">
        <f t="shared" si="3"/>
        <v>60</v>
      </c>
      <c r="X31" s="122">
        <f t="shared" si="4"/>
        <v>0</v>
      </c>
      <c r="Y31" s="122">
        <f t="shared" si="5"/>
        <v>0</v>
      </c>
      <c r="Z31" s="122">
        <f t="shared" si="6"/>
        <v>60</v>
      </c>
      <c r="AA31" s="122">
        <f t="shared" si="7"/>
        <v>0</v>
      </c>
    </row>
    <row r="32" spans="1:27" ht="23.1" customHeight="1">
      <c r="A32" s="13"/>
      <c r="B32" s="13"/>
      <c r="C32" s="13">
        <v>1</v>
      </c>
      <c r="D32" s="13"/>
      <c r="E32" s="11" t="s">
        <v>76</v>
      </c>
      <c r="F32" s="10">
        <v>2</v>
      </c>
      <c r="G32" s="12">
        <v>1</v>
      </c>
      <c r="H32" s="13">
        <v>0</v>
      </c>
      <c r="I32" s="13">
        <f t="shared" si="26"/>
        <v>3</v>
      </c>
      <c r="J32" s="13">
        <v>0</v>
      </c>
      <c r="K32" s="13">
        <f t="shared" si="27"/>
        <v>5</v>
      </c>
      <c r="L32" s="14">
        <f t="shared" si="28"/>
        <v>8</v>
      </c>
      <c r="M32" s="14">
        <f t="shared" ref="M32:M37" si="29">ROUND((($F32*1.5)+$G32+$H32),0)</f>
        <v>4</v>
      </c>
      <c r="N32" s="182">
        <f t="shared" ref="N32:N36" si="30">$M32*$G$5*(1+IF($Q32="TA-7",$J$5,IF($Q32="TA-8",$K$5,IF($Q32="TA-9",$L$5,0))))</f>
        <v>300</v>
      </c>
      <c r="O32" s="125" t="s">
        <v>29</v>
      </c>
      <c r="P32" s="7" t="s">
        <v>30</v>
      </c>
      <c r="Q32" s="125" t="s">
        <v>31</v>
      </c>
      <c r="R32" s="11" t="s">
        <v>58</v>
      </c>
      <c r="S32" s="13"/>
      <c r="T32" s="11"/>
      <c r="U32" s="35" t="s">
        <v>33</v>
      </c>
      <c r="V32" s="35" t="s">
        <v>77</v>
      </c>
      <c r="W32" s="122">
        <f t="shared" si="3"/>
        <v>45</v>
      </c>
      <c r="X32" s="122">
        <f t="shared" si="4"/>
        <v>0</v>
      </c>
      <c r="Y32" s="122">
        <f t="shared" si="5"/>
        <v>0</v>
      </c>
      <c r="Z32" s="122">
        <f t="shared" si="6"/>
        <v>45</v>
      </c>
      <c r="AA32" s="122">
        <f t="shared" si="7"/>
        <v>0</v>
      </c>
    </row>
    <row r="33" spans="1:27" ht="23.1" customHeight="1">
      <c r="A33" s="13"/>
      <c r="B33" s="13"/>
      <c r="C33" s="13">
        <v>1</v>
      </c>
      <c r="D33" s="13"/>
      <c r="E33" s="11" t="s">
        <v>78</v>
      </c>
      <c r="F33" s="10">
        <v>2</v>
      </c>
      <c r="G33" s="12">
        <v>1</v>
      </c>
      <c r="H33" s="13">
        <v>0</v>
      </c>
      <c r="I33" s="13">
        <f t="shared" si="26"/>
        <v>3</v>
      </c>
      <c r="J33" s="13">
        <v>0</v>
      </c>
      <c r="K33" s="13">
        <f t="shared" si="27"/>
        <v>5</v>
      </c>
      <c r="L33" s="14">
        <f t="shared" si="28"/>
        <v>8</v>
      </c>
      <c r="M33" s="14">
        <f t="shared" si="29"/>
        <v>4</v>
      </c>
      <c r="N33" s="182">
        <f t="shared" si="30"/>
        <v>300</v>
      </c>
      <c r="O33" s="125" t="s">
        <v>29</v>
      </c>
      <c r="P33" s="7" t="s">
        <v>79</v>
      </c>
      <c r="Q33" s="125" t="s">
        <v>31</v>
      </c>
      <c r="R33" s="11" t="s">
        <v>65</v>
      </c>
      <c r="S33" s="13"/>
      <c r="T33" s="11"/>
      <c r="U33" s="35" t="s">
        <v>33</v>
      </c>
      <c r="V33" s="35" t="s">
        <v>80</v>
      </c>
      <c r="W33" s="122">
        <f t="shared" si="3"/>
        <v>45</v>
      </c>
      <c r="X33" s="122">
        <f t="shared" si="4"/>
        <v>0</v>
      </c>
      <c r="Y33" s="122">
        <f t="shared" si="5"/>
        <v>0</v>
      </c>
      <c r="Z33" s="122">
        <f t="shared" si="6"/>
        <v>45</v>
      </c>
      <c r="AA33" s="122">
        <f t="shared" si="7"/>
        <v>0</v>
      </c>
    </row>
    <row r="34" spans="1:27" ht="23.1" customHeight="1">
      <c r="A34" s="13"/>
      <c r="B34" s="13"/>
      <c r="C34" s="13"/>
      <c r="D34" s="13">
        <v>1</v>
      </c>
      <c r="E34" s="11" t="s">
        <v>81</v>
      </c>
      <c r="F34" s="10">
        <v>2</v>
      </c>
      <c r="G34" s="12">
        <v>2</v>
      </c>
      <c r="H34" s="13">
        <v>0</v>
      </c>
      <c r="I34" s="13">
        <f t="shared" si="26"/>
        <v>4</v>
      </c>
      <c r="J34" s="13">
        <v>0</v>
      </c>
      <c r="K34" s="13">
        <f t="shared" si="27"/>
        <v>6</v>
      </c>
      <c r="L34" s="14">
        <f t="shared" si="28"/>
        <v>10</v>
      </c>
      <c r="M34" s="14">
        <f t="shared" si="29"/>
        <v>5</v>
      </c>
      <c r="N34" s="182">
        <f t="shared" si="30"/>
        <v>375</v>
      </c>
      <c r="O34" s="125" t="s">
        <v>70</v>
      </c>
      <c r="P34" s="7" t="s">
        <v>30</v>
      </c>
      <c r="Q34" s="125" t="s">
        <v>39</v>
      </c>
      <c r="R34" s="11" t="s">
        <v>52</v>
      </c>
      <c r="S34" s="13"/>
      <c r="T34" s="11"/>
      <c r="U34" s="35"/>
      <c r="V34" s="35"/>
      <c r="W34" s="122">
        <f t="shared" si="3"/>
        <v>60</v>
      </c>
      <c r="X34" s="122">
        <f t="shared" si="4"/>
        <v>0</v>
      </c>
      <c r="Y34" s="122">
        <f t="shared" si="5"/>
        <v>0</v>
      </c>
      <c r="Z34" s="122">
        <f t="shared" si="6"/>
        <v>0</v>
      </c>
      <c r="AA34" s="122">
        <f t="shared" si="7"/>
        <v>60</v>
      </c>
    </row>
    <row r="35" spans="1:27" ht="23.1" customHeight="1">
      <c r="A35" s="13"/>
      <c r="B35" s="13"/>
      <c r="C35" s="13"/>
      <c r="D35" s="13">
        <v>1</v>
      </c>
      <c r="E35" s="11" t="s">
        <v>82</v>
      </c>
      <c r="F35" s="10">
        <v>0</v>
      </c>
      <c r="G35" s="12">
        <v>0</v>
      </c>
      <c r="H35" s="13">
        <v>3</v>
      </c>
      <c r="I35" s="13">
        <f t="shared" si="26"/>
        <v>3</v>
      </c>
      <c r="J35" s="13">
        <v>0</v>
      </c>
      <c r="K35" s="13">
        <f t="shared" si="27"/>
        <v>3</v>
      </c>
      <c r="L35" s="14">
        <f t="shared" si="28"/>
        <v>6</v>
      </c>
      <c r="M35" s="14">
        <f t="shared" si="29"/>
        <v>3</v>
      </c>
      <c r="N35" s="182">
        <f t="shared" si="30"/>
        <v>258.75</v>
      </c>
      <c r="O35" s="125" t="s">
        <v>41</v>
      </c>
      <c r="P35" s="7" t="s">
        <v>30</v>
      </c>
      <c r="Q35" s="125" t="s">
        <v>42</v>
      </c>
      <c r="R35" s="11" t="s">
        <v>62</v>
      </c>
      <c r="S35" s="13"/>
      <c r="T35" s="11"/>
      <c r="U35" s="35"/>
      <c r="V35" s="35"/>
      <c r="W35" s="122">
        <f t="shared" si="3"/>
        <v>45</v>
      </c>
      <c r="X35" s="122">
        <f t="shared" si="4"/>
        <v>0</v>
      </c>
      <c r="Y35" s="122">
        <f t="shared" si="5"/>
        <v>0</v>
      </c>
      <c r="Z35" s="122">
        <f t="shared" si="6"/>
        <v>0</v>
      </c>
      <c r="AA35" s="122">
        <f t="shared" si="7"/>
        <v>45</v>
      </c>
    </row>
    <row r="36" spans="1:27" ht="23.1" customHeight="1">
      <c r="A36" s="13"/>
      <c r="B36" s="13"/>
      <c r="C36" s="13"/>
      <c r="D36" s="13">
        <v>1</v>
      </c>
      <c r="E36" s="11" t="s">
        <v>83</v>
      </c>
      <c r="F36" s="10">
        <v>2</v>
      </c>
      <c r="G36" s="12">
        <v>2</v>
      </c>
      <c r="H36" s="13">
        <v>0</v>
      </c>
      <c r="I36" s="13">
        <f t="shared" si="26"/>
        <v>4</v>
      </c>
      <c r="J36" s="13">
        <v>0</v>
      </c>
      <c r="K36" s="13">
        <f t="shared" si="27"/>
        <v>6</v>
      </c>
      <c r="L36" s="14">
        <f t="shared" si="28"/>
        <v>10</v>
      </c>
      <c r="M36" s="14">
        <f t="shared" si="29"/>
        <v>5</v>
      </c>
      <c r="N36" s="182">
        <f t="shared" si="30"/>
        <v>375</v>
      </c>
      <c r="O36" s="125" t="s">
        <v>70</v>
      </c>
      <c r="P36" s="7" t="s">
        <v>30</v>
      </c>
      <c r="Q36" s="125" t="s">
        <v>39</v>
      </c>
      <c r="R36" s="11" t="s">
        <v>69</v>
      </c>
      <c r="S36" s="13"/>
      <c r="T36" s="11"/>
      <c r="U36" s="35"/>
      <c r="V36" s="35"/>
      <c r="W36" s="122">
        <f t="shared" si="3"/>
        <v>60</v>
      </c>
      <c r="X36" s="122">
        <f t="shared" si="4"/>
        <v>0</v>
      </c>
      <c r="Y36" s="122">
        <f t="shared" si="5"/>
        <v>0</v>
      </c>
      <c r="Z36" s="122">
        <f t="shared" si="6"/>
        <v>0</v>
      </c>
      <c r="AA36" s="122">
        <f t="shared" si="7"/>
        <v>60</v>
      </c>
    </row>
    <row r="37" spans="1:27" ht="23.1" customHeight="1">
      <c r="A37" s="13"/>
      <c r="B37" s="13"/>
      <c r="C37" s="13"/>
      <c r="D37" s="13">
        <v>1</v>
      </c>
      <c r="E37" s="11" t="s">
        <v>84</v>
      </c>
      <c r="F37" s="10">
        <v>2</v>
      </c>
      <c r="G37" s="12">
        <v>2</v>
      </c>
      <c r="H37" s="13">
        <v>0</v>
      </c>
      <c r="I37" s="13">
        <f t="shared" ref="I37" si="31">SUM(F37:H37)</f>
        <v>4</v>
      </c>
      <c r="J37" s="13">
        <v>0</v>
      </c>
      <c r="K37" s="13">
        <f t="shared" si="27"/>
        <v>6</v>
      </c>
      <c r="L37" s="14">
        <f t="shared" si="28"/>
        <v>10</v>
      </c>
      <c r="M37" s="14">
        <f t="shared" si="29"/>
        <v>5</v>
      </c>
      <c r="N37" s="182">
        <f>$M37*$G$5*(1+IF($Q37="TA-7",$J$5,IF($Q37="TA-8",$K$5,IF($Q37="TA-9",$L$5,0))))</f>
        <v>375</v>
      </c>
      <c r="O37" s="125" t="s">
        <v>70</v>
      </c>
      <c r="P37" s="7" t="s">
        <v>30</v>
      </c>
      <c r="Q37" s="125" t="s">
        <v>39</v>
      </c>
      <c r="R37" s="11" t="s">
        <v>85</v>
      </c>
      <c r="S37" s="13"/>
      <c r="T37" s="11"/>
      <c r="U37" s="35"/>
      <c r="V37" s="35"/>
      <c r="W37" s="122">
        <f t="shared" si="3"/>
        <v>60</v>
      </c>
      <c r="X37" s="122">
        <f t="shared" si="4"/>
        <v>0</v>
      </c>
      <c r="Y37" s="122">
        <f t="shared" si="5"/>
        <v>0</v>
      </c>
      <c r="Z37" s="122">
        <f t="shared" si="6"/>
        <v>0</v>
      </c>
      <c r="AA37" s="122">
        <f t="shared" si="7"/>
        <v>60</v>
      </c>
    </row>
    <row r="38" spans="1:27" s="16" customFormat="1" ht="23.1" customHeight="1">
      <c r="A38" s="119"/>
      <c r="B38" s="119"/>
      <c r="C38" s="119"/>
      <c r="D38" s="119"/>
      <c r="E38" s="119"/>
      <c r="F38" s="124">
        <f>SUM(F39:F45)</f>
        <v>10</v>
      </c>
      <c r="G38" s="124">
        <f t="shared" ref="G38:M38" si="32">SUM(G39:G45)</f>
        <v>11</v>
      </c>
      <c r="H38" s="124">
        <f t="shared" si="32"/>
        <v>5</v>
      </c>
      <c r="I38" s="124">
        <f>SUM(I39:I45)</f>
        <v>26</v>
      </c>
      <c r="J38" s="124">
        <f t="shared" si="32"/>
        <v>0</v>
      </c>
      <c r="K38" s="124">
        <f t="shared" si="32"/>
        <v>36</v>
      </c>
      <c r="L38" s="124">
        <f t="shared" si="32"/>
        <v>62</v>
      </c>
      <c r="M38" s="124">
        <f t="shared" si="32"/>
        <v>31</v>
      </c>
      <c r="N38" s="183">
        <f>SUM(N39:N45)</f>
        <v>2381.25</v>
      </c>
      <c r="O38" s="128"/>
      <c r="P38" s="128"/>
      <c r="Q38" s="128"/>
      <c r="R38" s="129"/>
      <c r="S38" s="130"/>
      <c r="T38" s="130"/>
      <c r="U38" s="130"/>
      <c r="V38" s="131"/>
    </row>
    <row r="39" spans="1:27" ht="23.1" customHeight="1">
      <c r="A39" s="13"/>
      <c r="B39" s="13"/>
      <c r="C39" s="13">
        <v>1</v>
      </c>
      <c r="D39" s="13"/>
      <c r="E39" s="11" t="s">
        <v>87</v>
      </c>
      <c r="F39" s="10">
        <v>2</v>
      </c>
      <c r="G39" s="12">
        <v>3</v>
      </c>
      <c r="H39" s="13">
        <v>0</v>
      </c>
      <c r="I39" s="13">
        <f t="shared" ref="I39:I45" si="33">SUM(F39:H39)</f>
        <v>5</v>
      </c>
      <c r="J39" s="13">
        <v>0</v>
      </c>
      <c r="K39" s="13">
        <f t="shared" ref="K39:K45" si="34">(F39*2)+(G39*1)+(H39*1)</f>
        <v>7</v>
      </c>
      <c r="L39" s="14">
        <f t="shared" ref="L39:L45" si="35">I39+K39</f>
        <v>12</v>
      </c>
      <c r="M39" s="14">
        <f>ROUND((($F39*1.5)+$G39+$H39),0)</f>
        <v>6</v>
      </c>
      <c r="N39" s="182">
        <f>$M39*$G$5*(1+IF($Q39="TA-7",$J$5,IF($Q39="TA-8",$K$5,IF($Q39="TA-9",$L$5,0))))</f>
        <v>450</v>
      </c>
      <c r="O39" s="125" t="s">
        <v>29</v>
      </c>
      <c r="P39" s="7" t="s">
        <v>30</v>
      </c>
      <c r="Q39" s="125" t="s">
        <v>31</v>
      </c>
      <c r="R39" s="11" t="s">
        <v>59</v>
      </c>
      <c r="S39" s="13"/>
      <c r="T39" s="11"/>
      <c r="U39" s="35" t="s">
        <v>33</v>
      </c>
      <c r="V39" s="35" t="s">
        <v>88</v>
      </c>
      <c r="W39" s="122">
        <f t="shared" si="3"/>
        <v>75</v>
      </c>
      <c r="X39" s="122">
        <f t="shared" si="4"/>
        <v>0</v>
      </c>
      <c r="Y39" s="122">
        <f t="shared" si="5"/>
        <v>0</v>
      </c>
      <c r="Z39" s="122">
        <f t="shared" si="6"/>
        <v>75</v>
      </c>
      <c r="AA39" s="122">
        <f t="shared" si="7"/>
        <v>0</v>
      </c>
    </row>
    <row r="40" spans="1:27" ht="23.1" customHeight="1">
      <c r="A40" s="13"/>
      <c r="B40" s="13"/>
      <c r="C40" s="13">
        <v>1</v>
      </c>
      <c r="D40" s="13"/>
      <c r="E40" s="11" t="s">
        <v>89</v>
      </c>
      <c r="F40" s="10">
        <v>0</v>
      </c>
      <c r="G40" s="12">
        <v>0</v>
      </c>
      <c r="H40" s="13">
        <v>2</v>
      </c>
      <c r="I40" s="13">
        <f t="shared" si="33"/>
        <v>2</v>
      </c>
      <c r="J40" s="13">
        <v>0</v>
      </c>
      <c r="K40" s="13">
        <f t="shared" si="34"/>
        <v>2</v>
      </c>
      <c r="L40" s="14">
        <f t="shared" si="35"/>
        <v>4</v>
      </c>
      <c r="M40" s="14">
        <f t="shared" ref="M40:M45" si="36">ROUND((($F40*1.5)+$G40+$H40),0)</f>
        <v>2</v>
      </c>
      <c r="N40" s="182">
        <f t="shared" ref="N40:N44" si="37">$M40*$G$5*(1+IF($Q40="TA-7",$J$5,IF($Q40="TA-8",$K$5,IF($Q40="TA-9",$L$5,0))))</f>
        <v>172.5</v>
      </c>
      <c r="O40" s="125" t="s">
        <v>41</v>
      </c>
      <c r="P40" s="7" t="s">
        <v>30</v>
      </c>
      <c r="Q40" s="125" t="s">
        <v>42</v>
      </c>
      <c r="R40" s="132" t="s">
        <v>90</v>
      </c>
      <c r="S40" s="13"/>
      <c r="T40" s="11"/>
      <c r="U40" s="35"/>
      <c r="V40" s="35"/>
      <c r="W40" s="122">
        <f t="shared" si="3"/>
        <v>30</v>
      </c>
      <c r="X40" s="122">
        <f t="shared" si="4"/>
        <v>0</v>
      </c>
      <c r="Y40" s="122">
        <f t="shared" si="5"/>
        <v>0</v>
      </c>
      <c r="Z40" s="122">
        <f t="shared" si="6"/>
        <v>30</v>
      </c>
      <c r="AA40" s="122">
        <f t="shared" si="7"/>
        <v>0</v>
      </c>
    </row>
    <row r="41" spans="1:27" ht="23.1" customHeight="1">
      <c r="A41" s="13"/>
      <c r="B41" s="13"/>
      <c r="C41" s="13">
        <v>1</v>
      </c>
      <c r="D41" s="13"/>
      <c r="E41" s="11" t="s">
        <v>91</v>
      </c>
      <c r="F41" s="10">
        <v>2</v>
      </c>
      <c r="G41" s="12">
        <v>2</v>
      </c>
      <c r="H41" s="13">
        <v>0</v>
      </c>
      <c r="I41" s="13">
        <f t="shared" si="33"/>
        <v>4</v>
      </c>
      <c r="J41" s="13">
        <v>0</v>
      </c>
      <c r="K41" s="13">
        <f t="shared" si="34"/>
        <v>6</v>
      </c>
      <c r="L41" s="14">
        <f t="shared" si="35"/>
        <v>10</v>
      </c>
      <c r="M41" s="14">
        <f t="shared" si="36"/>
        <v>5</v>
      </c>
      <c r="N41" s="182">
        <f t="shared" si="37"/>
        <v>375</v>
      </c>
      <c r="O41" s="125" t="s">
        <v>29</v>
      </c>
      <c r="P41" s="7" t="s">
        <v>30</v>
      </c>
      <c r="Q41" s="125" t="s">
        <v>31</v>
      </c>
      <c r="R41" s="132" t="s">
        <v>58</v>
      </c>
      <c r="S41" s="13"/>
      <c r="T41" s="11"/>
      <c r="U41" s="35" t="s">
        <v>33</v>
      </c>
      <c r="V41" s="35" t="s">
        <v>88</v>
      </c>
      <c r="W41" s="122">
        <f t="shared" si="3"/>
        <v>60</v>
      </c>
      <c r="X41" s="122">
        <f t="shared" si="4"/>
        <v>0</v>
      </c>
      <c r="Y41" s="122">
        <f t="shared" si="5"/>
        <v>0</v>
      </c>
      <c r="Z41" s="122">
        <f t="shared" si="6"/>
        <v>60</v>
      </c>
      <c r="AA41" s="122">
        <f t="shared" si="7"/>
        <v>0</v>
      </c>
    </row>
    <row r="42" spans="1:27" ht="23.1" customHeight="1">
      <c r="A42" s="13"/>
      <c r="B42" s="13"/>
      <c r="C42" s="13"/>
      <c r="D42" s="13">
        <v>1</v>
      </c>
      <c r="E42" s="11" t="s">
        <v>92</v>
      </c>
      <c r="F42" s="10">
        <v>2</v>
      </c>
      <c r="G42" s="12">
        <v>2</v>
      </c>
      <c r="H42" s="13">
        <v>0</v>
      </c>
      <c r="I42" s="13">
        <f t="shared" si="33"/>
        <v>4</v>
      </c>
      <c r="J42" s="13">
        <v>0</v>
      </c>
      <c r="K42" s="13">
        <f t="shared" si="34"/>
        <v>6</v>
      </c>
      <c r="L42" s="14">
        <f t="shared" si="35"/>
        <v>10</v>
      </c>
      <c r="M42" s="14">
        <f t="shared" si="36"/>
        <v>5</v>
      </c>
      <c r="N42" s="182">
        <f t="shared" si="37"/>
        <v>375</v>
      </c>
      <c r="O42" s="125" t="s">
        <v>70</v>
      </c>
      <c r="P42" s="7" t="s">
        <v>30</v>
      </c>
      <c r="Q42" s="125" t="s">
        <v>39</v>
      </c>
      <c r="R42" s="132" t="s">
        <v>81</v>
      </c>
      <c r="S42" s="13"/>
      <c r="T42" s="11"/>
      <c r="U42" s="35"/>
      <c r="V42" s="35"/>
      <c r="W42" s="122">
        <f t="shared" si="3"/>
        <v>60</v>
      </c>
      <c r="X42" s="122">
        <f t="shared" si="4"/>
        <v>0</v>
      </c>
      <c r="Y42" s="122">
        <f t="shared" si="5"/>
        <v>0</v>
      </c>
      <c r="Z42" s="122">
        <f t="shared" si="6"/>
        <v>0</v>
      </c>
      <c r="AA42" s="122">
        <f t="shared" si="7"/>
        <v>60</v>
      </c>
    </row>
    <row r="43" spans="1:27" ht="23.1" customHeight="1">
      <c r="A43" s="13"/>
      <c r="B43" s="13"/>
      <c r="C43" s="13"/>
      <c r="D43" s="13">
        <v>1</v>
      </c>
      <c r="E43" s="11" t="s">
        <v>93</v>
      </c>
      <c r="F43" s="10">
        <v>0</v>
      </c>
      <c r="G43" s="12">
        <v>0</v>
      </c>
      <c r="H43" s="13">
        <v>3</v>
      </c>
      <c r="I43" s="13">
        <f t="shared" si="33"/>
        <v>3</v>
      </c>
      <c r="J43" s="13">
        <v>0</v>
      </c>
      <c r="K43" s="13">
        <f t="shared" si="34"/>
        <v>3</v>
      </c>
      <c r="L43" s="14">
        <f t="shared" si="35"/>
        <v>6</v>
      </c>
      <c r="M43" s="14">
        <f t="shared" si="36"/>
        <v>3</v>
      </c>
      <c r="N43" s="182">
        <f t="shared" si="37"/>
        <v>258.75</v>
      </c>
      <c r="O43" s="125" t="s">
        <v>41</v>
      </c>
      <c r="P43" s="7" t="s">
        <v>30</v>
      </c>
      <c r="Q43" s="125" t="s">
        <v>42</v>
      </c>
      <c r="R43" s="11" t="s">
        <v>62</v>
      </c>
      <c r="S43" s="13"/>
      <c r="T43" s="11"/>
      <c r="U43" s="35"/>
      <c r="V43" s="35"/>
      <c r="W43" s="122">
        <f t="shared" si="3"/>
        <v>45</v>
      </c>
      <c r="X43" s="122">
        <f t="shared" si="4"/>
        <v>0</v>
      </c>
      <c r="Y43" s="122">
        <f t="shared" si="5"/>
        <v>0</v>
      </c>
      <c r="Z43" s="122">
        <f t="shared" si="6"/>
        <v>0</v>
      </c>
      <c r="AA43" s="122">
        <f t="shared" si="7"/>
        <v>45</v>
      </c>
    </row>
    <row r="44" spans="1:27" ht="23.1" customHeight="1">
      <c r="A44" s="13"/>
      <c r="B44" s="13"/>
      <c r="C44" s="13"/>
      <c r="D44" s="13">
        <v>1</v>
      </c>
      <c r="E44" s="11" t="s">
        <v>94</v>
      </c>
      <c r="F44" s="10">
        <v>2</v>
      </c>
      <c r="G44" s="12">
        <v>3</v>
      </c>
      <c r="H44" s="13">
        <v>0</v>
      </c>
      <c r="I44" s="13">
        <f t="shared" si="33"/>
        <v>5</v>
      </c>
      <c r="J44" s="13">
        <v>0</v>
      </c>
      <c r="K44" s="13">
        <f t="shared" si="34"/>
        <v>7</v>
      </c>
      <c r="L44" s="14">
        <f t="shared" si="35"/>
        <v>12</v>
      </c>
      <c r="M44" s="14">
        <f t="shared" si="36"/>
        <v>6</v>
      </c>
      <c r="N44" s="182">
        <f t="shared" si="37"/>
        <v>450</v>
      </c>
      <c r="O44" s="125" t="s">
        <v>70</v>
      </c>
      <c r="P44" s="7" t="s">
        <v>30</v>
      </c>
      <c r="Q44" s="125" t="s">
        <v>39</v>
      </c>
      <c r="R44" s="11" t="s">
        <v>95</v>
      </c>
      <c r="S44" s="13"/>
      <c r="T44" s="11"/>
      <c r="U44" s="35"/>
      <c r="V44" s="35"/>
      <c r="W44" s="122">
        <f t="shared" si="3"/>
        <v>75</v>
      </c>
      <c r="X44" s="122">
        <f t="shared" si="4"/>
        <v>0</v>
      </c>
      <c r="Y44" s="122">
        <f t="shared" si="5"/>
        <v>0</v>
      </c>
      <c r="Z44" s="122">
        <f t="shared" si="6"/>
        <v>0</v>
      </c>
      <c r="AA44" s="122">
        <f t="shared" si="7"/>
        <v>75</v>
      </c>
    </row>
    <row r="45" spans="1:27" ht="23.1" customHeight="1">
      <c r="A45" s="13"/>
      <c r="B45" s="13"/>
      <c r="C45" s="13"/>
      <c r="D45" s="13">
        <v>1</v>
      </c>
      <c r="E45" s="11" t="s">
        <v>96</v>
      </c>
      <c r="F45" s="10">
        <v>2</v>
      </c>
      <c r="G45" s="12">
        <v>1</v>
      </c>
      <c r="H45" s="13">
        <v>0</v>
      </c>
      <c r="I45" s="13">
        <f t="shared" si="33"/>
        <v>3</v>
      </c>
      <c r="J45" s="13">
        <v>0</v>
      </c>
      <c r="K45" s="13">
        <f t="shared" si="34"/>
        <v>5</v>
      </c>
      <c r="L45" s="14">
        <f t="shared" si="35"/>
        <v>8</v>
      </c>
      <c r="M45" s="14">
        <f t="shared" si="36"/>
        <v>4</v>
      </c>
      <c r="N45" s="182">
        <f>$M45*$G$5*(1+IF($Q45="TA-7",$J$5,IF($Q45="TA-8",$K$5,IF($Q45="TA-9",$L$5,0))))</f>
        <v>300</v>
      </c>
      <c r="O45" s="125" t="s">
        <v>70</v>
      </c>
      <c r="P45" s="7" t="s">
        <v>72</v>
      </c>
      <c r="Q45" s="125" t="s">
        <v>39</v>
      </c>
      <c r="R45" s="11" t="s">
        <v>97</v>
      </c>
      <c r="S45" s="13"/>
      <c r="T45" s="11"/>
      <c r="U45" s="35"/>
      <c r="V45" s="35"/>
      <c r="W45" s="122">
        <f t="shared" si="3"/>
        <v>45</v>
      </c>
      <c r="X45" s="122">
        <f t="shared" si="4"/>
        <v>0</v>
      </c>
      <c r="Y45" s="122">
        <f t="shared" si="5"/>
        <v>0</v>
      </c>
      <c r="Z45" s="122">
        <f t="shared" si="6"/>
        <v>0</v>
      </c>
      <c r="AA45" s="122">
        <f t="shared" si="7"/>
        <v>45</v>
      </c>
    </row>
    <row r="46" spans="1:27" ht="23.1" customHeight="1">
      <c r="A46" s="13"/>
      <c r="B46" s="13"/>
      <c r="C46" s="13"/>
      <c r="D46" s="13"/>
      <c r="E46" s="11" t="s">
        <v>98</v>
      </c>
      <c r="F46" s="10"/>
      <c r="G46" s="12"/>
      <c r="H46" s="13"/>
      <c r="I46" s="13"/>
      <c r="J46" s="13"/>
      <c r="K46" s="13"/>
      <c r="L46" s="14"/>
      <c r="M46" s="14"/>
      <c r="N46" s="182">
        <f t="shared" ref="N46:N55" si="38">$M46*$G$5</f>
        <v>0</v>
      </c>
      <c r="O46" s="125"/>
      <c r="P46" s="7"/>
      <c r="Q46" s="125"/>
      <c r="R46" s="11" t="s">
        <v>99</v>
      </c>
      <c r="S46" s="13"/>
      <c r="T46" s="11"/>
      <c r="U46" s="35"/>
      <c r="V46" s="35"/>
      <c r="W46" s="122">
        <f t="shared" si="3"/>
        <v>0</v>
      </c>
      <c r="X46" s="122">
        <f t="shared" si="4"/>
        <v>0</v>
      </c>
      <c r="Y46" s="122">
        <f t="shared" si="5"/>
        <v>0</v>
      </c>
      <c r="Z46" s="122">
        <f t="shared" si="6"/>
        <v>0</v>
      </c>
      <c r="AA46" s="122">
        <f t="shared" si="7"/>
        <v>0</v>
      </c>
    </row>
    <row r="47" spans="1:27" s="16" customFormat="1" ht="23.1" customHeight="1">
      <c r="A47" s="119"/>
      <c r="B47" s="119"/>
      <c r="C47" s="119"/>
      <c r="D47" s="119"/>
      <c r="E47" s="119"/>
      <c r="F47" s="124">
        <f>SUM(F48:F55)</f>
        <v>11</v>
      </c>
      <c r="G47" s="124">
        <f t="shared" ref="G47:M47" si="39">SUM(G48:G55)</f>
        <v>8</v>
      </c>
      <c r="H47" s="124">
        <f t="shared" si="39"/>
        <v>6</v>
      </c>
      <c r="I47" s="124">
        <f t="shared" si="39"/>
        <v>25</v>
      </c>
      <c r="J47" s="124">
        <f t="shared" si="39"/>
        <v>0</v>
      </c>
      <c r="K47" s="124">
        <f t="shared" si="39"/>
        <v>36</v>
      </c>
      <c r="L47" s="124">
        <f t="shared" si="39"/>
        <v>61</v>
      </c>
      <c r="M47" s="124">
        <f t="shared" si="39"/>
        <v>31</v>
      </c>
      <c r="N47" s="183">
        <f>SUM(N48:N54)</f>
        <v>2493.75</v>
      </c>
      <c r="O47" s="128"/>
      <c r="P47" s="128"/>
      <c r="Q47" s="128"/>
      <c r="R47" s="129"/>
      <c r="S47" s="130"/>
      <c r="T47" s="130"/>
      <c r="U47" s="130"/>
      <c r="V47" s="128"/>
    </row>
    <row r="48" spans="1:27" ht="23.1" customHeight="1">
      <c r="A48" s="13"/>
      <c r="B48" s="13"/>
      <c r="C48" s="13">
        <v>1</v>
      </c>
      <c r="D48" s="13"/>
      <c r="E48" s="11" t="s">
        <v>101</v>
      </c>
      <c r="F48" s="10">
        <v>0</v>
      </c>
      <c r="G48" s="12">
        <v>2</v>
      </c>
      <c r="H48" s="13">
        <v>0</v>
      </c>
      <c r="I48" s="13">
        <f t="shared" ref="I48:I54" si="40">SUM(F48:H48)</f>
        <v>2</v>
      </c>
      <c r="J48" s="13">
        <v>0</v>
      </c>
      <c r="K48" s="13">
        <f t="shared" ref="K48:K54" si="41">(F48*2)+(G48*1)+(H48*1)</f>
        <v>2</v>
      </c>
      <c r="L48" s="14">
        <f t="shared" ref="L48:L54" si="42">I48+K48</f>
        <v>4</v>
      </c>
      <c r="M48" s="14">
        <f>ROUND((($F48*1.5)+$G48+$H48),0)</f>
        <v>2</v>
      </c>
      <c r="N48" s="182">
        <f>$M48*$G$5*(1+IF($Q48="TA-7",$J$5,IF($Q48="TA-8",$K$5,IF($Q48="TA-9",$L$5,0))))</f>
        <v>172.5</v>
      </c>
      <c r="O48" s="125" t="s">
        <v>41</v>
      </c>
      <c r="P48" s="7" t="s">
        <v>30</v>
      </c>
      <c r="Q48" s="125" t="s">
        <v>42</v>
      </c>
      <c r="R48" s="11" t="s">
        <v>74</v>
      </c>
      <c r="S48" s="13"/>
      <c r="T48" s="11"/>
      <c r="U48" s="35" t="s">
        <v>33</v>
      </c>
      <c r="V48" s="35" t="s">
        <v>77</v>
      </c>
      <c r="W48" s="122">
        <f t="shared" si="3"/>
        <v>30</v>
      </c>
      <c r="X48" s="122">
        <f t="shared" si="4"/>
        <v>0</v>
      </c>
      <c r="Y48" s="122">
        <f t="shared" si="5"/>
        <v>0</v>
      </c>
      <c r="Z48" s="122">
        <f t="shared" si="6"/>
        <v>30</v>
      </c>
      <c r="AA48" s="122">
        <f t="shared" si="7"/>
        <v>0</v>
      </c>
    </row>
    <row r="49" spans="1:27" ht="23.1" customHeight="1">
      <c r="A49" s="13"/>
      <c r="B49" s="13"/>
      <c r="C49" s="13"/>
      <c r="D49" s="13">
        <v>1</v>
      </c>
      <c r="E49" s="11" t="s">
        <v>102</v>
      </c>
      <c r="F49" s="10">
        <v>1</v>
      </c>
      <c r="G49" s="12">
        <v>0</v>
      </c>
      <c r="H49" s="13">
        <v>2</v>
      </c>
      <c r="I49" s="13">
        <f t="shared" si="40"/>
        <v>3</v>
      </c>
      <c r="J49" s="13">
        <v>0</v>
      </c>
      <c r="K49" s="13">
        <f t="shared" si="41"/>
        <v>4</v>
      </c>
      <c r="L49" s="14">
        <f t="shared" si="42"/>
        <v>7</v>
      </c>
      <c r="M49" s="14">
        <f t="shared" ref="M49:M54" si="43">ROUND((($F49*1.5)+$G49+$H49),0)</f>
        <v>4</v>
      </c>
      <c r="N49" s="182">
        <f t="shared" ref="N49:N53" si="44">$M49*$G$5*(1+IF($Q49="TA-7",$J$5,IF($Q49="TA-8",$K$5,IF($Q49="TA-9",$L$5,0))))</f>
        <v>300</v>
      </c>
      <c r="O49" s="125" t="s">
        <v>29</v>
      </c>
      <c r="P49" s="7" t="s">
        <v>30</v>
      </c>
      <c r="Q49" s="125" t="s">
        <v>45</v>
      </c>
      <c r="R49" s="192" t="s">
        <v>194</v>
      </c>
      <c r="S49" s="13"/>
      <c r="T49" s="11"/>
      <c r="U49" s="35"/>
      <c r="V49" s="35"/>
      <c r="W49" s="122">
        <f t="shared" si="3"/>
        <v>45</v>
      </c>
      <c r="X49" s="122">
        <f t="shared" si="4"/>
        <v>0</v>
      </c>
      <c r="Y49" s="122">
        <f t="shared" si="5"/>
        <v>0</v>
      </c>
      <c r="Z49" s="122">
        <f t="shared" si="6"/>
        <v>0</v>
      </c>
      <c r="AA49" s="122">
        <f t="shared" si="7"/>
        <v>45</v>
      </c>
    </row>
    <row r="50" spans="1:27" ht="23.1" customHeight="1">
      <c r="A50" s="13"/>
      <c r="B50" s="13"/>
      <c r="C50" s="13"/>
      <c r="D50" s="13">
        <v>1</v>
      </c>
      <c r="E50" s="11" t="s">
        <v>103</v>
      </c>
      <c r="F50" s="10">
        <v>2</v>
      </c>
      <c r="G50" s="12">
        <v>2</v>
      </c>
      <c r="H50" s="13">
        <v>2</v>
      </c>
      <c r="I50" s="13">
        <f t="shared" si="40"/>
        <v>6</v>
      </c>
      <c r="J50" s="13">
        <v>0</v>
      </c>
      <c r="K50" s="13">
        <f t="shared" si="41"/>
        <v>8</v>
      </c>
      <c r="L50" s="14">
        <f t="shared" si="42"/>
        <v>14</v>
      </c>
      <c r="M50" s="14">
        <f t="shared" si="43"/>
        <v>7</v>
      </c>
      <c r="N50" s="182">
        <f t="shared" si="44"/>
        <v>603.75</v>
      </c>
      <c r="O50" s="125" t="s">
        <v>41</v>
      </c>
      <c r="P50" s="80" t="s">
        <v>30</v>
      </c>
      <c r="Q50" s="125" t="s">
        <v>42</v>
      </c>
      <c r="R50" s="11" t="s">
        <v>87</v>
      </c>
      <c r="S50" s="13"/>
      <c r="T50" s="11"/>
      <c r="U50" s="35"/>
      <c r="V50" s="35"/>
      <c r="W50" s="122">
        <f t="shared" si="3"/>
        <v>90</v>
      </c>
      <c r="X50" s="122">
        <f t="shared" si="4"/>
        <v>0</v>
      </c>
      <c r="Y50" s="122">
        <f t="shared" si="5"/>
        <v>0</v>
      </c>
      <c r="Z50" s="122">
        <f t="shared" si="6"/>
        <v>0</v>
      </c>
      <c r="AA50" s="122">
        <f t="shared" si="7"/>
        <v>90</v>
      </c>
    </row>
    <row r="51" spans="1:27" ht="23.1" customHeight="1">
      <c r="A51" s="13"/>
      <c r="B51" s="13"/>
      <c r="C51" s="13"/>
      <c r="D51" s="13">
        <v>1</v>
      </c>
      <c r="E51" s="11" t="s">
        <v>104</v>
      </c>
      <c r="F51" s="10">
        <v>2</v>
      </c>
      <c r="G51" s="12">
        <v>1</v>
      </c>
      <c r="H51" s="13">
        <v>2</v>
      </c>
      <c r="I51" s="13">
        <f t="shared" si="40"/>
        <v>5</v>
      </c>
      <c r="J51" s="13">
        <v>0</v>
      </c>
      <c r="K51" s="13">
        <f t="shared" si="41"/>
        <v>7</v>
      </c>
      <c r="L51" s="14">
        <f t="shared" si="42"/>
        <v>12</v>
      </c>
      <c r="M51" s="14">
        <f t="shared" si="43"/>
        <v>6</v>
      </c>
      <c r="N51" s="182">
        <f t="shared" si="44"/>
        <v>517.5</v>
      </c>
      <c r="O51" s="125" t="s">
        <v>41</v>
      </c>
      <c r="P51" s="7" t="s">
        <v>30</v>
      </c>
      <c r="Q51" s="125" t="s">
        <v>42</v>
      </c>
      <c r="R51" s="11" t="s">
        <v>92</v>
      </c>
      <c r="S51" s="13"/>
      <c r="T51" s="11"/>
      <c r="U51" s="35"/>
      <c r="V51" s="35"/>
      <c r="W51" s="122">
        <f t="shared" si="3"/>
        <v>75</v>
      </c>
      <c r="X51" s="122">
        <f t="shared" si="4"/>
        <v>0</v>
      </c>
      <c r="Y51" s="122">
        <f t="shared" si="5"/>
        <v>0</v>
      </c>
      <c r="Z51" s="122">
        <f t="shared" si="6"/>
        <v>0</v>
      </c>
      <c r="AA51" s="122">
        <f t="shared" si="7"/>
        <v>75</v>
      </c>
    </row>
    <row r="52" spans="1:27" ht="23.1" customHeight="1">
      <c r="A52" s="13"/>
      <c r="B52" s="13"/>
      <c r="C52" s="13"/>
      <c r="D52" s="13">
        <v>1</v>
      </c>
      <c r="E52" s="11" t="s">
        <v>105</v>
      </c>
      <c r="F52" s="10">
        <v>2</v>
      </c>
      <c r="G52" s="12">
        <v>1</v>
      </c>
      <c r="H52" s="13">
        <v>0</v>
      </c>
      <c r="I52" s="13">
        <f t="shared" si="40"/>
        <v>3</v>
      </c>
      <c r="J52" s="13">
        <v>0</v>
      </c>
      <c r="K52" s="13">
        <f t="shared" si="41"/>
        <v>5</v>
      </c>
      <c r="L52" s="14">
        <f t="shared" si="42"/>
        <v>8</v>
      </c>
      <c r="M52" s="14">
        <f t="shared" si="43"/>
        <v>4</v>
      </c>
      <c r="N52" s="182">
        <f t="shared" si="44"/>
        <v>300</v>
      </c>
      <c r="O52" s="125" t="s">
        <v>70</v>
      </c>
      <c r="P52" s="7" t="s">
        <v>30</v>
      </c>
      <c r="Q52" s="125" t="s">
        <v>39</v>
      </c>
      <c r="R52" s="11" t="s">
        <v>94</v>
      </c>
      <c r="S52" s="13"/>
      <c r="T52" s="11"/>
      <c r="U52" s="35"/>
      <c r="V52" s="35"/>
      <c r="W52" s="122">
        <f t="shared" si="3"/>
        <v>45</v>
      </c>
      <c r="X52" s="122">
        <f t="shared" si="4"/>
        <v>0</v>
      </c>
      <c r="Y52" s="122">
        <f t="shared" si="5"/>
        <v>0</v>
      </c>
      <c r="Z52" s="122">
        <f t="shared" si="6"/>
        <v>0</v>
      </c>
      <c r="AA52" s="122">
        <f t="shared" si="7"/>
        <v>45</v>
      </c>
    </row>
    <row r="53" spans="1:27" ht="23.1" customHeight="1">
      <c r="A53" s="13"/>
      <c r="B53" s="13"/>
      <c r="C53" s="13"/>
      <c r="D53" s="13">
        <v>1</v>
      </c>
      <c r="E53" s="11" t="s">
        <v>106</v>
      </c>
      <c r="F53" s="10">
        <v>2</v>
      </c>
      <c r="G53" s="12">
        <v>1</v>
      </c>
      <c r="H53" s="13">
        <v>0</v>
      </c>
      <c r="I53" s="13">
        <f t="shared" si="40"/>
        <v>3</v>
      </c>
      <c r="J53" s="13">
        <v>0</v>
      </c>
      <c r="K53" s="13">
        <f t="shared" si="41"/>
        <v>5</v>
      </c>
      <c r="L53" s="14">
        <f t="shared" si="42"/>
        <v>8</v>
      </c>
      <c r="M53" s="14">
        <f t="shared" si="43"/>
        <v>4</v>
      </c>
      <c r="N53" s="182">
        <f t="shared" si="44"/>
        <v>300</v>
      </c>
      <c r="O53" s="125" t="s">
        <v>70</v>
      </c>
      <c r="P53" s="7" t="s">
        <v>30</v>
      </c>
      <c r="Q53" s="125" t="s">
        <v>39</v>
      </c>
      <c r="R53" s="11" t="s">
        <v>107</v>
      </c>
      <c r="S53" s="13"/>
      <c r="T53" s="11"/>
      <c r="U53" s="35"/>
      <c r="V53" s="35"/>
      <c r="W53" s="122">
        <f t="shared" si="3"/>
        <v>45</v>
      </c>
      <c r="X53" s="122">
        <f t="shared" si="4"/>
        <v>0</v>
      </c>
      <c r="Y53" s="122">
        <f t="shared" si="5"/>
        <v>0</v>
      </c>
      <c r="Z53" s="122">
        <f t="shared" si="6"/>
        <v>0</v>
      </c>
      <c r="AA53" s="122">
        <f t="shared" si="7"/>
        <v>45</v>
      </c>
    </row>
    <row r="54" spans="1:27" ht="23.1" customHeight="1">
      <c r="A54" s="13"/>
      <c r="B54" s="13"/>
      <c r="C54" s="13"/>
      <c r="D54" s="13">
        <v>1</v>
      </c>
      <c r="E54" s="11" t="s">
        <v>108</v>
      </c>
      <c r="F54" s="10">
        <v>2</v>
      </c>
      <c r="G54" s="12">
        <v>1</v>
      </c>
      <c r="H54" s="13">
        <v>0</v>
      </c>
      <c r="I54" s="13">
        <f t="shared" si="40"/>
        <v>3</v>
      </c>
      <c r="J54" s="13">
        <v>0</v>
      </c>
      <c r="K54" s="13">
        <f t="shared" si="41"/>
        <v>5</v>
      </c>
      <c r="L54" s="14">
        <f t="shared" si="42"/>
        <v>8</v>
      </c>
      <c r="M54" s="14">
        <f t="shared" si="43"/>
        <v>4</v>
      </c>
      <c r="N54" s="182">
        <f>$M54*$G$5*(1+IF($Q54="TA-7",$J$5,IF($Q54="TA-8",$K$5,IF($Q54="TA-9",$L$5,0))))</f>
        <v>300</v>
      </c>
      <c r="O54" s="125" t="s">
        <v>70</v>
      </c>
      <c r="P54" s="7" t="s">
        <v>30</v>
      </c>
      <c r="Q54" s="125" t="s">
        <v>39</v>
      </c>
      <c r="R54" s="132" t="s">
        <v>96</v>
      </c>
      <c r="S54" s="13"/>
      <c r="T54" s="11"/>
      <c r="U54" s="35"/>
      <c r="V54" s="35"/>
      <c r="W54" s="122">
        <f t="shared" si="3"/>
        <v>45</v>
      </c>
      <c r="X54" s="122">
        <f t="shared" si="4"/>
        <v>0</v>
      </c>
      <c r="Y54" s="122">
        <f t="shared" si="5"/>
        <v>0</v>
      </c>
      <c r="Z54" s="122">
        <f t="shared" si="6"/>
        <v>0</v>
      </c>
      <c r="AA54" s="122">
        <f t="shared" si="7"/>
        <v>45</v>
      </c>
    </row>
    <row r="55" spans="1:27" ht="23.1" customHeight="1">
      <c r="A55" s="13"/>
      <c r="B55" s="13"/>
      <c r="C55" s="13"/>
      <c r="D55" s="13"/>
      <c r="E55" s="11" t="s">
        <v>111</v>
      </c>
      <c r="F55" s="10"/>
      <c r="G55" s="12"/>
      <c r="H55" s="13"/>
      <c r="I55" s="13"/>
      <c r="J55" s="13"/>
      <c r="K55" s="13"/>
      <c r="L55" s="14"/>
      <c r="M55" s="14"/>
      <c r="N55" s="182">
        <f t="shared" si="38"/>
        <v>0</v>
      </c>
      <c r="O55" s="125"/>
      <c r="P55" s="7"/>
      <c r="Q55" s="125"/>
      <c r="R55" s="11" t="s">
        <v>112</v>
      </c>
      <c r="S55" s="13"/>
      <c r="T55" s="11"/>
      <c r="U55" s="35"/>
      <c r="V55" s="35"/>
      <c r="W55" s="122">
        <f t="shared" si="3"/>
        <v>0</v>
      </c>
      <c r="X55" s="122">
        <f t="shared" si="4"/>
        <v>0</v>
      </c>
      <c r="Y55" s="122">
        <f t="shared" si="5"/>
        <v>0</v>
      </c>
      <c r="Z55" s="122">
        <f t="shared" si="6"/>
        <v>0</v>
      </c>
      <c r="AA55" s="122">
        <f t="shared" si="7"/>
        <v>0</v>
      </c>
    </row>
    <row r="56" spans="1:27" s="16" customFormat="1" ht="23.1" customHeight="1">
      <c r="A56" s="119"/>
      <c r="B56" s="119"/>
      <c r="C56" s="119"/>
      <c r="D56" s="119"/>
      <c r="E56" s="119"/>
      <c r="F56" s="124">
        <f>SUM(F57:F64)</f>
        <v>9</v>
      </c>
      <c r="G56" s="124">
        <f t="shared" ref="G56:M56" si="45">SUM(G57:G64)</f>
        <v>5</v>
      </c>
      <c r="H56" s="124">
        <f t="shared" si="45"/>
        <v>11</v>
      </c>
      <c r="I56" s="124">
        <f t="shared" si="45"/>
        <v>25</v>
      </c>
      <c r="J56" s="124">
        <f t="shared" si="45"/>
        <v>0</v>
      </c>
      <c r="K56" s="124">
        <f t="shared" si="45"/>
        <v>50</v>
      </c>
      <c r="L56" s="124">
        <f t="shared" si="45"/>
        <v>75</v>
      </c>
      <c r="M56" s="124">
        <f t="shared" si="45"/>
        <v>34</v>
      </c>
      <c r="N56" s="183">
        <f>SUM(N57:N64)</f>
        <v>2745</v>
      </c>
      <c r="O56" s="128"/>
      <c r="P56" s="128"/>
      <c r="Q56" s="128"/>
      <c r="R56" s="129"/>
      <c r="S56" s="130"/>
      <c r="T56" s="130"/>
      <c r="U56" s="130"/>
      <c r="V56" s="131"/>
    </row>
    <row r="57" spans="1:27" ht="23.1" customHeight="1">
      <c r="A57" s="13"/>
      <c r="B57" s="13"/>
      <c r="C57" s="13"/>
      <c r="D57" s="13">
        <v>1</v>
      </c>
      <c r="E57" s="192" t="s">
        <v>233</v>
      </c>
      <c r="F57" s="10">
        <v>0</v>
      </c>
      <c r="G57" s="12">
        <v>0</v>
      </c>
      <c r="H57" s="13">
        <v>4</v>
      </c>
      <c r="I57" s="13">
        <f>SUM(F57:H57)</f>
        <v>4</v>
      </c>
      <c r="J57" s="13">
        <v>0</v>
      </c>
      <c r="K57" s="13">
        <f t="shared" ref="K57:K63" si="46">(F57*2)+(G57*1)+(H57*1)</f>
        <v>4</v>
      </c>
      <c r="L57" s="14">
        <f t="shared" ref="L57:L64" si="47">I57+K57</f>
        <v>8</v>
      </c>
      <c r="M57" s="14">
        <f>ROUND((($F57*1.5)+$G57+$H57),0)</f>
        <v>4</v>
      </c>
      <c r="N57" s="182">
        <f>$M57*$G$5*(1+IF($Q57="TA-7",$J$5,IF($Q57="TA-8",$K$5,IF($Q57="TA-9",$L$5,0))))</f>
        <v>345</v>
      </c>
      <c r="O57" s="125" t="s">
        <v>41</v>
      </c>
      <c r="P57" s="7" t="s">
        <v>30</v>
      </c>
      <c r="Q57" s="125" t="s">
        <v>42</v>
      </c>
      <c r="R57" s="11" t="s">
        <v>114</v>
      </c>
      <c r="S57" s="13"/>
      <c r="T57" s="11"/>
      <c r="U57" s="35"/>
      <c r="V57" s="35"/>
      <c r="W57" s="122">
        <f t="shared" si="3"/>
        <v>60</v>
      </c>
      <c r="X57" s="122">
        <f t="shared" si="4"/>
        <v>0</v>
      </c>
      <c r="Y57" s="122">
        <f t="shared" si="5"/>
        <v>0</v>
      </c>
      <c r="Z57" s="122">
        <f t="shared" si="6"/>
        <v>0</v>
      </c>
      <c r="AA57" s="122">
        <f t="shared" si="7"/>
        <v>60</v>
      </c>
    </row>
    <row r="58" spans="1:27" ht="23.1" customHeight="1">
      <c r="A58" s="13"/>
      <c r="B58" s="13"/>
      <c r="C58" s="13"/>
      <c r="D58" s="13">
        <v>1</v>
      </c>
      <c r="E58" s="11" t="s">
        <v>115</v>
      </c>
      <c r="F58" s="10">
        <v>1</v>
      </c>
      <c r="G58" s="12">
        <v>0</v>
      </c>
      <c r="H58" s="13">
        <v>2</v>
      </c>
      <c r="I58" s="13">
        <f t="shared" ref="I58:I63" si="48">SUM(F58:H58)</f>
        <v>3</v>
      </c>
      <c r="J58" s="13">
        <v>0</v>
      </c>
      <c r="K58" s="13">
        <f t="shared" si="46"/>
        <v>4</v>
      </c>
      <c r="L58" s="14">
        <f t="shared" si="47"/>
        <v>7</v>
      </c>
      <c r="M58" s="14">
        <f t="shared" ref="M58:M63" si="49">ROUND((($F58*1.5)+$G58+$H58),0)</f>
        <v>4</v>
      </c>
      <c r="N58" s="182">
        <f t="shared" ref="N58:N63" si="50">$M58*$G$5*(1+IF($Q58="TA-7",$J$5,IF($Q58="TA-8",$K$5,IF($Q58="TA-9",$L$5,0))))</f>
        <v>300</v>
      </c>
      <c r="O58" s="125" t="s">
        <v>29</v>
      </c>
      <c r="P58" s="7" t="s">
        <v>30</v>
      </c>
      <c r="Q58" s="125" t="s">
        <v>45</v>
      </c>
      <c r="R58" s="11" t="s">
        <v>102</v>
      </c>
      <c r="S58" s="13"/>
      <c r="T58" s="11"/>
      <c r="U58" s="35"/>
      <c r="V58" s="35"/>
      <c r="W58" s="122">
        <f t="shared" si="3"/>
        <v>45</v>
      </c>
      <c r="X58" s="122">
        <f t="shared" si="4"/>
        <v>0</v>
      </c>
      <c r="Y58" s="122">
        <f t="shared" si="5"/>
        <v>0</v>
      </c>
      <c r="Z58" s="122">
        <f t="shared" si="6"/>
        <v>0</v>
      </c>
      <c r="AA58" s="122">
        <f t="shared" si="7"/>
        <v>45</v>
      </c>
    </row>
    <row r="59" spans="1:27" ht="23.1" customHeight="1">
      <c r="A59" s="13"/>
      <c r="B59" s="13"/>
      <c r="C59" s="13"/>
      <c r="D59" s="13">
        <v>1</v>
      </c>
      <c r="E59" s="11" t="s">
        <v>116</v>
      </c>
      <c r="F59" s="10">
        <v>2</v>
      </c>
      <c r="G59" s="12">
        <v>2</v>
      </c>
      <c r="H59" s="13">
        <v>0</v>
      </c>
      <c r="I59" s="13">
        <f t="shared" si="48"/>
        <v>4</v>
      </c>
      <c r="J59" s="13">
        <v>0</v>
      </c>
      <c r="K59" s="13">
        <f t="shared" si="46"/>
        <v>6</v>
      </c>
      <c r="L59" s="14">
        <f t="shared" si="47"/>
        <v>10</v>
      </c>
      <c r="M59" s="14">
        <f t="shared" si="49"/>
        <v>5</v>
      </c>
      <c r="N59" s="182">
        <f t="shared" si="50"/>
        <v>375</v>
      </c>
      <c r="O59" s="125" t="s">
        <v>70</v>
      </c>
      <c r="P59" s="7" t="s">
        <v>117</v>
      </c>
      <c r="Q59" s="125" t="s">
        <v>39</v>
      </c>
      <c r="R59" s="132" t="s">
        <v>118</v>
      </c>
      <c r="S59" s="13"/>
      <c r="T59" s="11"/>
      <c r="U59" s="35"/>
      <c r="V59" s="35"/>
      <c r="W59" s="122">
        <f t="shared" si="3"/>
        <v>60</v>
      </c>
      <c r="X59" s="122">
        <f t="shared" si="4"/>
        <v>0</v>
      </c>
      <c r="Y59" s="122">
        <f t="shared" si="5"/>
        <v>0</v>
      </c>
      <c r="Z59" s="122">
        <f t="shared" si="6"/>
        <v>0</v>
      </c>
      <c r="AA59" s="122">
        <f t="shared" si="7"/>
        <v>60</v>
      </c>
    </row>
    <row r="60" spans="1:27" ht="23.1" customHeight="1">
      <c r="A60" s="13"/>
      <c r="B60" s="13"/>
      <c r="C60" s="13"/>
      <c r="D60" s="13">
        <v>1</v>
      </c>
      <c r="E60" s="11" t="s">
        <v>119</v>
      </c>
      <c r="F60" s="10">
        <v>2</v>
      </c>
      <c r="G60" s="12">
        <v>0</v>
      </c>
      <c r="H60" s="13">
        <v>2</v>
      </c>
      <c r="I60" s="13">
        <f t="shared" si="48"/>
        <v>4</v>
      </c>
      <c r="J60" s="13">
        <v>0</v>
      </c>
      <c r="K60" s="13">
        <f t="shared" si="46"/>
        <v>6</v>
      </c>
      <c r="L60" s="14">
        <f t="shared" si="47"/>
        <v>10</v>
      </c>
      <c r="M60" s="14">
        <f t="shared" si="49"/>
        <v>5</v>
      </c>
      <c r="N60" s="182">
        <f t="shared" si="50"/>
        <v>431.24999999999994</v>
      </c>
      <c r="O60" s="125" t="s">
        <v>41</v>
      </c>
      <c r="P60" s="7" t="s">
        <v>117</v>
      </c>
      <c r="Q60" s="125" t="s">
        <v>42</v>
      </c>
      <c r="R60" s="11" t="s">
        <v>104</v>
      </c>
      <c r="S60" s="13"/>
      <c r="T60" s="11"/>
      <c r="U60" s="35"/>
      <c r="V60" s="35"/>
      <c r="W60" s="122">
        <f t="shared" si="3"/>
        <v>60</v>
      </c>
      <c r="X60" s="122">
        <f t="shared" si="4"/>
        <v>0</v>
      </c>
      <c r="Y60" s="122">
        <f t="shared" si="5"/>
        <v>0</v>
      </c>
      <c r="Z60" s="122">
        <f t="shared" si="6"/>
        <v>0</v>
      </c>
      <c r="AA60" s="122">
        <f t="shared" si="7"/>
        <v>60</v>
      </c>
    </row>
    <row r="61" spans="1:27" ht="23.1" customHeight="1">
      <c r="A61" s="13"/>
      <c r="B61" s="13"/>
      <c r="C61" s="13"/>
      <c r="D61" s="13">
        <v>1</v>
      </c>
      <c r="E61" s="126" t="s">
        <v>120</v>
      </c>
      <c r="F61" s="23">
        <v>0</v>
      </c>
      <c r="G61" s="23">
        <v>0</v>
      </c>
      <c r="H61" s="24">
        <v>3</v>
      </c>
      <c r="I61" s="23">
        <f t="shared" si="48"/>
        <v>3</v>
      </c>
      <c r="J61" s="24">
        <v>0</v>
      </c>
      <c r="K61" s="23">
        <f t="shared" si="46"/>
        <v>3</v>
      </c>
      <c r="L61" s="24">
        <f t="shared" si="47"/>
        <v>6</v>
      </c>
      <c r="M61" s="14">
        <f t="shared" si="49"/>
        <v>3</v>
      </c>
      <c r="N61" s="182">
        <f t="shared" si="50"/>
        <v>258.75</v>
      </c>
      <c r="O61" s="125" t="s">
        <v>41</v>
      </c>
      <c r="P61" s="7" t="s">
        <v>30</v>
      </c>
      <c r="Q61" s="80" t="s">
        <v>42</v>
      </c>
      <c r="R61" s="11" t="s">
        <v>114</v>
      </c>
      <c r="S61" s="25"/>
      <c r="T61" s="26"/>
      <c r="U61" s="26" t="s">
        <v>33</v>
      </c>
      <c r="V61" s="133" t="s">
        <v>121</v>
      </c>
      <c r="W61" s="122">
        <f t="shared" si="3"/>
        <v>45</v>
      </c>
      <c r="X61" s="122">
        <f t="shared" si="4"/>
        <v>0</v>
      </c>
      <c r="Y61" s="122">
        <f t="shared" si="5"/>
        <v>0</v>
      </c>
      <c r="Z61" s="122">
        <f t="shared" si="6"/>
        <v>0</v>
      </c>
      <c r="AA61" s="122">
        <f t="shared" si="7"/>
        <v>45</v>
      </c>
    </row>
    <row r="62" spans="1:27" ht="23.1" customHeight="1">
      <c r="A62" s="13"/>
      <c r="B62" s="13"/>
      <c r="C62" s="13"/>
      <c r="D62" s="13">
        <v>1</v>
      </c>
      <c r="E62" s="11" t="s">
        <v>122</v>
      </c>
      <c r="F62" s="10">
        <v>2</v>
      </c>
      <c r="G62" s="12">
        <v>2</v>
      </c>
      <c r="H62" s="13">
        <v>0</v>
      </c>
      <c r="I62" s="13">
        <f t="shared" si="48"/>
        <v>4</v>
      </c>
      <c r="J62" s="13">
        <v>0</v>
      </c>
      <c r="K62" s="13">
        <f t="shared" si="46"/>
        <v>6</v>
      </c>
      <c r="L62" s="14">
        <f t="shared" si="47"/>
        <v>10</v>
      </c>
      <c r="M62" s="14">
        <f t="shared" si="49"/>
        <v>5</v>
      </c>
      <c r="N62" s="182">
        <f t="shared" si="50"/>
        <v>375</v>
      </c>
      <c r="O62" s="125" t="s">
        <v>70</v>
      </c>
      <c r="P62" s="7" t="s">
        <v>30</v>
      </c>
      <c r="Q62" s="125" t="s">
        <v>39</v>
      </c>
      <c r="R62" s="11" t="s">
        <v>123</v>
      </c>
      <c r="S62" s="13"/>
      <c r="T62" s="11"/>
      <c r="U62" s="35"/>
      <c r="V62" s="35"/>
      <c r="W62" s="122">
        <f t="shared" si="3"/>
        <v>60</v>
      </c>
      <c r="X62" s="122">
        <f t="shared" si="4"/>
        <v>0</v>
      </c>
      <c r="Y62" s="122">
        <f t="shared" si="5"/>
        <v>0</v>
      </c>
      <c r="Z62" s="122">
        <f t="shared" si="6"/>
        <v>0</v>
      </c>
      <c r="AA62" s="122">
        <f t="shared" si="7"/>
        <v>60</v>
      </c>
    </row>
    <row r="63" spans="1:27" ht="23.1" customHeight="1">
      <c r="A63" s="13"/>
      <c r="B63" s="13"/>
      <c r="C63" s="13"/>
      <c r="D63" s="13">
        <v>1</v>
      </c>
      <c r="E63" s="11" t="s">
        <v>125</v>
      </c>
      <c r="F63" s="10">
        <v>2</v>
      </c>
      <c r="G63" s="12">
        <v>1</v>
      </c>
      <c r="H63" s="13">
        <v>0</v>
      </c>
      <c r="I63" s="13">
        <f t="shared" si="48"/>
        <v>3</v>
      </c>
      <c r="J63" s="13">
        <v>0</v>
      </c>
      <c r="K63" s="13">
        <f t="shared" si="46"/>
        <v>5</v>
      </c>
      <c r="L63" s="14">
        <f t="shared" si="47"/>
        <v>8</v>
      </c>
      <c r="M63" s="14">
        <f t="shared" si="49"/>
        <v>4</v>
      </c>
      <c r="N63" s="182">
        <f t="shared" si="50"/>
        <v>330</v>
      </c>
      <c r="O63" s="125" t="s">
        <v>41</v>
      </c>
      <c r="P63" s="7" t="s">
        <v>124</v>
      </c>
      <c r="Q63" s="125" t="s">
        <v>126</v>
      </c>
      <c r="R63" s="11" t="s">
        <v>127</v>
      </c>
      <c r="S63" s="13"/>
      <c r="T63" s="11"/>
      <c r="U63" s="35"/>
      <c r="V63" s="35" t="s">
        <v>46</v>
      </c>
      <c r="W63" s="122">
        <f t="shared" si="3"/>
        <v>45</v>
      </c>
      <c r="X63" s="122">
        <f t="shared" si="4"/>
        <v>0</v>
      </c>
      <c r="Y63" s="122">
        <f t="shared" si="5"/>
        <v>0</v>
      </c>
      <c r="Z63" s="122">
        <f t="shared" si="6"/>
        <v>0</v>
      </c>
      <c r="AA63" s="122">
        <f t="shared" si="7"/>
        <v>45</v>
      </c>
    </row>
    <row r="64" spans="1:27" ht="23.1" customHeight="1">
      <c r="A64" s="13"/>
      <c r="B64" s="13"/>
      <c r="C64" s="13"/>
      <c r="D64" s="13"/>
      <c r="E64" s="11" t="s">
        <v>128</v>
      </c>
      <c r="F64" s="10">
        <v>0</v>
      </c>
      <c r="G64" s="12">
        <v>0</v>
      </c>
      <c r="H64" s="13">
        <v>0</v>
      </c>
      <c r="I64" s="13">
        <f t="shared" ref="I64" si="51">SUM(F64:H64)</f>
        <v>0</v>
      </c>
      <c r="J64" s="13">
        <v>0</v>
      </c>
      <c r="K64" s="13">
        <v>16</v>
      </c>
      <c r="L64" s="14">
        <f t="shared" si="47"/>
        <v>16</v>
      </c>
      <c r="M64" s="14">
        <v>4</v>
      </c>
      <c r="N64" s="182">
        <f>$M64*$G$5*(1+IF($Q64="TA-7",$J$5,IF($Q64="TA-8",$K$5,IF($Q64="TA-9",$L$5,0))))</f>
        <v>330</v>
      </c>
      <c r="O64" s="125"/>
      <c r="P64" s="7" t="s">
        <v>72</v>
      </c>
      <c r="Q64" s="125" t="s">
        <v>129</v>
      </c>
      <c r="R64" s="11" t="s">
        <v>122</v>
      </c>
      <c r="S64" s="13"/>
      <c r="T64" s="11"/>
      <c r="U64" s="35"/>
      <c r="V64" s="35"/>
      <c r="W64" s="122">
        <f t="shared" si="3"/>
        <v>0</v>
      </c>
      <c r="X64" s="122">
        <f t="shared" si="4"/>
        <v>0</v>
      </c>
      <c r="Y64" s="122">
        <f t="shared" si="5"/>
        <v>0</v>
      </c>
      <c r="Z64" s="122">
        <f t="shared" si="6"/>
        <v>0</v>
      </c>
      <c r="AA64" s="122">
        <f t="shared" si="7"/>
        <v>0</v>
      </c>
    </row>
    <row r="65" spans="1:27" s="16" customFormat="1" ht="23.1" customHeight="1">
      <c r="A65" s="119"/>
      <c r="B65" s="119"/>
      <c r="C65" s="119"/>
      <c r="D65" s="119"/>
      <c r="E65" s="119"/>
      <c r="F65" s="124">
        <f>SUM(F66:F73)</f>
        <v>12</v>
      </c>
      <c r="G65" s="124">
        <f t="shared" ref="G65:M65" si="52">SUM(G66:G73)</f>
        <v>9</v>
      </c>
      <c r="H65" s="124">
        <f t="shared" si="52"/>
        <v>0</v>
      </c>
      <c r="I65" s="124">
        <f t="shared" si="52"/>
        <v>21</v>
      </c>
      <c r="J65" s="124">
        <f t="shared" si="52"/>
        <v>0</v>
      </c>
      <c r="K65" s="124">
        <f t="shared" si="52"/>
        <v>73</v>
      </c>
      <c r="L65" s="124">
        <f t="shared" si="52"/>
        <v>94</v>
      </c>
      <c r="M65" s="124">
        <f t="shared" si="52"/>
        <v>49</v>
      </c>
      <c r="N65" s="183">
        <f>SUM(N66:N73)</f>
        <v>2610</v>
      </c>
      <c r="O65" s="128"/>
      <c r="P65" s="128"/>
      <c r="Q65" s="128"/>
      <c r="R65" s="129"/>
      <c r="S65" s="130"/>
      <c r="T65" s="130"/>
      <c r="U65" s="130"/>
      <c r="V65" s="131"/>
    </row>
    <row r="66" spans="1:27" s="16" customFormat="1" ht="23.1" customHeight="1">
      <c r="A66" s="13"/>
      <c r="B66" s="13"/>
      <c r="C66" s="13">
        <v>1</v>
      </c>
      <c r="D66" s="13"/>
      <c r="E66" s="3" t="s">
        <v>131</v>
      </c>
      <c r="F66" s="2">
        <v>1</v>
      </c>
      <c r="G66" s="4">
        <v>1</v>
      </c>
      <c r="H66" s="5">
        <v>0</v>
      </c>
      <c r="I66" s="5">
        <f t="shared" ref="I66:I73" si="53">SUM(F66:H66)</f>
        <v>2</v>
      </c>
      <c r="J66" s="5">
        <v>0</v>
      </c>
      <c r="K66" s="5">
        <f t="shared" ref="K66:K72" si="54">(F66*2)+(G66*1)+(H66*1)</f>
        <v>3</v>
      </c>
      <c r="L66" s="6">
        <f t="shared" ref="L66:L73" si="55">I66+K66</f>
        <v>5</v>
      </c>
      <c r="M66" s="6">
        <f t="shared" ref="M66:M72" si="56">ROUND((($F66*1.5)+$G66+$H66),0)</f>
        <v>3</v>
      </c>
      <c r="N66" s="182">
        <f>$M66*$G$5*(1+IF($Q66="TA-7",$J$5,IF($Q66="TA-8",$K$5,IF($Q66="TA-9",$L$5,0))))</f>
        <v>225</v>
      </c>
      <c r="O66" s="125" t="s">
        <v>29</v>
      </c>
      <c r="P66" s="7" t="s">
        <v>72</v>
      </c>
      <c r="Q66" s="134" t="s">
        <v>132</v>
      </c>
      <c r="R66" s="3" t="s">
        <v>127</v>
      </c>
      <c r="S66" s="5"/>
      <c r="T66" s="3"/>
      <c r="U66" s="26" t="s">
        <v>33</v>
      </c>
      <c r="V66" s="26" t="s">
        <v>133</v>
      </c>
      <c r="W66" s="122">
        <f t="shared" si="3"/>
        <v>30</v>
      </c>
      <c r="X66" s="122">
        <f t="shared" si="4"/>
        <v>0</v>
      </c>
      <c r="Y66" s="122">
        <f t="shared" si="5"/>
        <v>0</v>
      </c>
      <c r="Z66" s="122">
        <f t="shared" si="6"/>
        <v>30</v>
      </c>
      <c r="AA66" s="122">
        <f t="shared" si="7"/>
        <v>0</v>
      </c>
    </row>
    <row r="67" spans="1:27" s="16" customFormat="1" ht="23.1" customHeight="1">
      <c r="A67" s="13"/>
      <c r="B67" s="13"/>
      <c r="C67" s="13"/>
      <c r="D67" s="13">
        <v>1</v>
      </c>
      <c r="E67" s="11" t="s">
        <v>134</v>
      </c>
      <c r="F67" s="10">
        <v>1</v>
      </c>
      <c r="G67" s="12">
        <v>2</v>
      </c>
      <c r="H67" s="13">
        <v>0</v>
      </c>
      <c r="I67" s="5">
        <f t="shared" si="53"/>
        <v>3</v>
      </c>
      <c r="J67" s="5">
        <v>0</v>
      </c>
      <c r="K67" s="5">
        <f t="shared" si="54"/>
        <v>4</v>
      </c>
      <c r="L67" s="6">
        <f t="shared" si="55"/>
        <v>7</v>
      </c>
      <c r="M67" s="6">
        <f t="shared" si="56"/>
        <v>4</v>
      </c>
      <c r="N67" s="182">
        <f t="shared" ref="N67:N72" si="57">$M67*$G$5*(1+IF($Q67="TA-7",$J$5,IF($Q67="TA-8",$K$5,IF($Q67="TA-9",$L$5,0))))</f>
        <v>300</v>
      </c>
      <c r="O67" s="125" t="s">
        <v>29</v>
      </c>
      <c r="P67" s="7" t="s">
        <v>72</v>
      </c>
      <c r="Q67" s="125" t="s">
        <v>45</v>
      </c>
      <c r="R67" s="11" t="s">
        <v>115</v>
      </c>
      <c r="S67" s="13"/>
      <c r="T67" s="11"/>
      <c r="U67" s="35"/>
      <c r="V67" s="35"/>
      <c r="W67" s="122">
        <f t="shared" si="3"/>
        <v>45</v>
      </c>
      <c r="X67" s="122">
        <f t="shared" si="4"/>
        <v>0</v>
      </c>
      <c r="Y67" s="122">
        <f t="shared" si="5"/>
        <v>0</v>
      </c>
      <c r="Z67" s="122">
        <f t="shared" si="6"/>
        <v>0</v>
      </c>
      <c r="AA67" s="122">
        <f t="shared" si="7"/>
        <v>45</v>
      </c>
    </row>
    <row r="68" spans="1:27" s="16" customFormat="1" ht="23.1" customHeight="1">
      <c r="A68" s="13"/>
      <c r="B68" s="13"/>
      <c r="C68" s="13"/>
      <c r="D68" s="13">
        <v>1</v>
      </c>
      <c r="E68" s="11" t="s">
        <v>135</v>
      </c>
      <c r="F68" s="10">
        <v>2</v>
      </c>
      <c r="G68" s="12">
        <v>1</v>
      </c>
      <c r="H68" s="13">
        <v>0</v>
      </c>
      <c r="I68" s="5">
        <f t="shared" si="53"/>
        <v>3</v>
      </c>
      <c r="J68" s="5">
        <v>0</v>
      </c>
      <c r="K68" s="5">
        <f t="shared" si="54"/>
        <v>5</v>
      </c>
      <c r="L68" s="6">
        <f t="shared" si="55"/>
        <v>8</v>
      </c>
      <c r="M68" s="6">
        <f t="shared" si="56"/>
        <v>4</v>
      </c>
      <c r="N68" s="182">
        <f t="shared" si="57"/>
        <v>300</v>
      </c>
      <c r="O68" s="125" t="s">
        <v>70</v>
      </c>
      <c r="P68" s="7" t="s">
        <v>72</v>
      </c>
      <c r="Q68" s="125" t="s">
        <v>39</v>
      </c>
      <c r="R68" s="11" t="s">
        <v>116</v>
      </c>
      <c r="S68" s="13"/>
      <c r="T68" s="11"/>
      <c r="U68" s="35"/>
      <c r="V68" s="35"/>
      <c r="W68" s="122">
        <f t="shared" si="3"/>
        <v>45</v>
      </c>
      <c r="X68" s="122">
        <f t="shared" si="4"/>
        <v>0</v>
      </c>
      <c r="Y68" s="122">
        <f t="shared" si="5"/>
        <v>0</v>
      </c>
      <c r="Z68" s="122">
        <f t="shared" si="6"/>
        <v>0</v>
      </c>
      <c r="AA68" s="122">
        <f t="shared" si="7"/>
        <v>45</v>
      </c>
    </row>
    <row r="69" spans="1:27" s="16" customFormat="1" ht="23.1" customHeight="1">
      <c r="A69" s="13"/>
      <c r="B69" s="13"/>
      <c r="C69" s="13"/>
      <c r="D69" s="13">
        <v>1</v>
      </c>
      <c r="E69" s="11" t="s">
        <v>136</v>
      </c>
      <c r="F69" s="10">
        <v>2</v>
      </c>
      <c r="G69" s="12">
        <v>2</v>
      </c>
      <c r="H69" s="13">
        <v>0</v>
      </c>
      <c r="I69" s="5">
        <f t="shared" si="53"/>
        <v>4</v>
      </c>
      <c r="J69" s="5">
        <v>0</v>
      </c>
      <c r="K69" s="5">
        <f t="shared" si="54"/>
        <v>6</v>
      </c>
      <c r="L69" s="6">
        <f t="shared" si="55"/>
        <v>10</v>
      </c>
      <c r="M69" s="6">
        <f t="shared" si="56"/>
        <v>5</v>
      </c>
      <c r="N69" s="182">
        <f t="shared" si="57"/>
        <v>431.24999999999994</v>
      </c>
      <c r="O69" s="125" t="s">
        <v>41</v>
      </c>
      <c r="P69" s="7" t="s">
        <v>137</v>
      </c>
      <c r="Q69" s="125" t="s">
        <v>42</v>
      </c>
      <c r="R69" s="11" t="s">
        <v>119</v>
      </c>
      <c r="S69" s="13"/>
      <c r="T69" s="11"/>
      <c r="U69" s="35"/>
      <c r="V69" s="35"/>
      <c r="W69" s="122">
        <f t="shared" si="3"/>
        <v>60</v>
      </c>
      <c r="X69" s="122">
        <f t="shared" si="4"/>
        <v>0</v>
      </c>
      <c r="Y69" s="122">
        <f t="shared" si="5"/>
        <v>0</v>
      </c>
      <c r="Z69" s="122">
        <f t="shared" si="6"/>
        <v>0</v>
      </c>
      <c r="AA69" s="122">
        <f t="shared" si="7"/>
        <v>60</v>
      </c>
    </row>
    <row r="70" spans="1:27" s="16" customFormat="1" ht="23.1" customHeight="1">
      <c r="A70" s="13"/>
      <c r="B70" s="13"/>
      <c r="C70" s="13"/>
      <c r="D70" s="13">
        <v>1</v>
      </c>
      <c r="E70" s="11" t="s">
        <v>138</v>
      </c>
      <c r="F70" s="10">
        <v>2</v>
      </c>
      <c r="G70" s="12">
        <v>1</v>
      </c>
      <c r="H70" s="13">
        <v>0</v>
      </c>
      <c r="I70" s="5">
        <f t="shared" si="53"/>
        <v>3</v>
      </c>
      <c r="J70" s="5">
        <v>0</v>
      </c>
      <c r="K70" s="5">
        <f t="shared" si="54"/>
        <v>5</v>
      </c>
      <c r="L70" s="6">
        <f t="shared" si="55"/>
        <v>8</v>
      </c>
      <c r="M70" s="6">
        <f t="shared" si="56"/>
        <v>4</v>
      </c>
      <c r="N70" s="182">
        <f t="shared" si="57"/>
        <v>300</v>
      </c>
      <c r="O70" s="125" t="s">
        <v>70</v>
      </c>
      <c r="P70" s="7" t="s">
        <v>137</v>
      </c>
      <c r="Q70" s="125" t="s">
        <v>39</v>
      </c>
      <c r="R70" s="126" t="s">
        <v>139</v>
      </c>
      <c r="S70" s="13"/>
      <c r="T70" s="11"/>
      <c r="U70" s="35"/>
      <c r="V70" s="35"/>
      <c r="W70" s="122">
        <f t="shared" si="3"/>
        <v>45</v>
      </c>
      <c r="X70" s="122">
        <f t="shared" si="4"/>
        <v>0</v>
      </c>
      <c r="Y70" s="122">
        <f t="shared" si="5"/>
        <v>0</v>
      </c>
      <c r="Z70" s="122">
        <f t="shared" si="6"/>
        <v>0</v>
      </c>
      <c r="AA70" s="122">
        <f t="shared" si="7"/>
        <v>45</v>
      </c>
    </row>
    <row r="71" spans="1:27" s="16" customFormat="1" ht="23.1" customHeight="1">
      <c r="A71" s="13"/>
      <c r="B71" s="13"/>
      <c r="C71" s="13"/>
      <c r="D71" s="13">
        <v>1</v>
      </c>
      <c r="E71" s="11" t="s">
        <v>140</v>
      </c>
      <c r="F71" s="10">
        <v>2</v>
      </c>
      <c r="G71" s="12">
        <v>1</v>
      </c>
      <c r="H71" s="13">
        <v>0</v>
      </c>
      <c r="I71" s="5">
        <f t="shared" si="53"/>
        <v>3</v>
      </c>
      <c r="J71" s="5">
        <v>0</v>
      </c>
      <c r="K71" s="5">
        <f t="shared" si="54"/>
        <v>5</v>
      </c>
      <c r="L71" s="6">
        <f t="shared" si="55"/>
        <v>8</v>
      </c>
      <c r="M71" s="6">
        <f t="shared" si="56"/>
        <v>4</v>
      </c>
      <c r="N71" s="182">
        <f t="shared" si="57"/>
        <v>330</v>
      </c>
      <c r="O71" s="125" t="s">
        <v>41</v>
      </c>
      <c r="P71" s="7" t="s">
        <v>124</v>
      </c>
      <c r="Q71" s="125" t="s">
        <v>126</v>
      </c>
      <c r="R71" s="126" t="s">
        <v>127</v>
      </c>
      <c r="S71" s="13"/>
      <c r="T71" s="11"/>
      <c r="U71" s="35"/>
      <c r="V71" s="35" t="s">
        <v>46</v>
      </c>
      <c r="W71" s="122">
        <f t="shared" si="3"/>
        <v>45</v>
      </c>
      <c r="X71" s="122">
        <f t="shared" si="4"/>
        <v>0</v>
      </c>
      <c r="Y71" s="122">
        <f t="shared" si="5"/>
        <v>0</v>
      </c>
      <c r="Z71" s="122">
        <f t="shared" si="6"/>
        <v>0</v>
      </c>
      <c r="AA71" s="122">
        <f t="shared" si="7"/>
        <v>45</v>
      </c>
    </row>
    <row r="72" spans="1:27" s="16" customFormat="1" ht="23.1" customHeight="1">
      <c r="A72" s="13"/>
      <c r="B72" s="13"/>
      <c r="C72" s="13"/>
      <c r="D72" s="13">
        <v>1</v>
      </c>
      <c r="E72" s="11" t="s">
        <v>142</v>
      </c>
      <c r="F72" s="10">
        <v>2</v>
      </c>
      <c r="G72" s="12">
        <v>1</v>
      </c>
      <c r="H72" s="13">
        <v>0</v>
      </c>
      <c r="I72" s="5">
        <f t="shared" si="53"/>
        <v>3</v>
      </c>
      <c r="J72" s="5">
        <v>0</v>
      </c>
      <c r="K72" s="5">
        <f t="shared" si="54"/>
        <v>5</v>
      </c>
      <c r="L72" s="6">
        <f t="shared" si="55"/>
        <v>8</v>
      </c>
      <c r="M72" s="6">
        <f t="shared" si="56"/>
        <v>4</v>
      </c>
      <c r="N72" s="182">
        <f t="shared" si="57"/>
        <v>330</v>
      </c>
      <c r="O72" s="125" t="s">
        <v>41</v>
      </c>
      <c r="P72" s="7" t="s">
        <v>141</v>
      </c>
      <c r="Q72" s="125" t="s">
        <v>126</v>
      </c>
      <c r="R72" s="126" t="s">
        <v>143</v>
      </c>
      <c r="S72" s="13"/>
      <c r="T72" s="11"/>
      <c r="U72" s="35"/>
      <c r="V72" s="35" t="s">
        <v>46</v>
      </c>
      <c r="W72" s="122">
        <f t="shared" si="3"/>
        <v>45</v>
      </c>
      <c r="X72" s="122">
        <f t="shared" si="4"/>
        <v>0</v>
      </c>
      <c r="Y72" s="122">
        <f t="shared" si="5"/>
        <v>0</v>
      </c>
      <c r="Z72" s="122">
        <f t="shared" si="6"/>
        <v>0</v>
      </c>
      <c r="AA72" s="122">
        <f t="shared" si="7"/>
        <v>45</v>
      </c>
    </row>
    <row r="73" spans="1:27" s="16" customFormat="1" ht="23.1" customHeight="1">
      <c r="A73" s="13"/>
      <c r="B73" s="13"/>
      <c r="C73" s="13"/>
      <c r="D73" s="13"/>
      <c r="E73" s="136" t="s">
        <v>144</v>
      </c>
      <c r="F73" s="137">
        <v>0</v>
      </c>
      <c r="G73" s="138">
        <v>0</v>
      </c>
      <c r="H73" s="135">
        <v>0</v>
      </c>
      <c r="I73" s="139">
        <f t="shared" si="53"/>
        <v>0</v>
      </c>
      <c r="J73" s="139">
        <v>0</v>
      </c>
      <c r="K73" s="139">
        <v>40</v>
      </c>
      <c r="L73" s="140">
        <f t="shared" si="55"/>
        <v>40</v>
      </c>
      <c r="M73" s="140">
        <v>21</v>
      </c>
      <c r="N73" s="182">
        <f>$M73*1/4*$G$5</f>
        <v>393.75</v>
      </c>
      <c r="O73" s="125"/>
      <c r="P73" s="7"/>
      <c r="Q73" s="125" t="s">
        <v>129</v>
      </c>
      <c r="R73" s="191" t="s">
        <v>196</v>
      </c>
      <c r="S73" s="13"/>
      <c r="T73" s="11"/>
      <c r="U73" s="35"/>
      <c r="V73" s="35"/>
      <c r="W73" s="122">
        <f t="shared" ref="W73" si="58">I73*$W$7</f>
        <v>0</v>
      </c>
      <c r="X73" s="122">
        <f t="shared" ref="X73" si="59">W73*$A73</f>
        <v>0</v>
      </c>
      <c r="Y73" s="122">
        <f t="shared" ref="Y73" si="60">W73*$B73</f>
        <v>0</v>
      </c>
      <c r="Z73" s="122">
        <f t="shared" ref="Z73" si="61">W73*$C73</f>
        <v>0</v>
      </c>
      <c r="AA73" s="122">
        <f t="shared" ref="AA73" si="62">W73*$D73</f>
        <v>0</v>
      </c>
    </row>
    <row r="74" spans="1:27" s="16" customFormat="1" ht="23.1" customHeight="1">
      <c r="E74" s="141" t="s">
        <v>145</v>
      </c>
      <c r="F74" s="124">
        <f t="shared" ref="F74:M74" si="63">F65+F56+F47+F38+F30+F22+F15+F8</f>
        <v>83</v>
      </c>
      <c r="G74" s="124">
        <f t="shared" si="63"/>
        <v>75</v>
      </c>
      <c r="H74" s="124">
        <f t="shared" si="63"/>
        <v>35</v>
      </c>
      <c r="I74" s="124">
        <f t="shared" si="63"/>
        <v>193</v>
      </c>
      <c r="J74" s="124">
        <f t="shared" si="63"/>
        <v>0</v>
      </c>
      <c r="K74" s="124">
        <f t="shared" si="63"/>
        <v>332</v>
      </c>
      <c r="L74" s="124">
        <f t="shared" si="63"/>
        <v>525</v>
      </c>
      <c r="M74" s="124">
        <f t="shared" si="63"/>
        <v>265</v>
      </c>
      <c r="N74" s="190">
        <f>SUM(N8,N15,N22,N30,N38,N47,N56,N65)</f>
        <v>19488.75</v>
      </c>
      <c r="O74" s="59"/>
      <c r="P74" s="59"/>
      <c r="Q74" s="59"/>
      <c r="R74" s="60"/>
      <c r="S74" s="61"/>
      <c r="T74" s="61"/>
      <c r="U74" s="61"/>
      <c r="V74" s="62"/>
    </row>
    <row r="75" spans="1:27" s="16" customFormat="1" ht="20.100000000000001" customHeight="1">
      <c r="E75" s="63"/>
      <c r="F75" s="63"/>
      <c r="G75" s="64"/>
      <c r="H75" s="61"/>
      <c r="I75" s="61"/>
      <c r="L75" s="59"/>
      <c r="M75" s="59"/>
      <c r="N75" s="189">
        <f>N74-N73</f>
        <v>19095</v>
      </c>
      <c r="O75" s="59"/>
      <c r="P75" s="61"/>
      <c r="Q75" s="61"/>
      <c r="R75" s="60"/>
      <c r="S75" s="61"/>
      <c r="T75" s="62"/>
    </row>
  </sheetData>
  <mergeCells count="21">
    <mergeCell ref="Q6:Q7"/>
    <mergeCell ref="R6:R7"/>
    <mergeCell ref="S6:S7"/>
    <mergeCell ref="T6:T7"/>
    <mergeCell ref="U6:U7"/>
    <mergeCell ref="E1:V1"/>
    <mergeCell ref="F2:V2"/>
    <mergeCell ref="F3:V3"/>
    <mergeCell ref="E6:E7"/>
    <mergeCell ref="F6:H6"/>
    <mergeCell ref="I6:I7"/>
    <mergeCell ref="N6:N7"/>
    <mergeCell ref="F4:H4"/>
    <mergeCell ref="G5:I5"/>
    <mergeCell ref="V6:V7"/>
    <mergeCell ref="J6:J7"/>
    <mergeCell ref="K6:K7"/>
    <mergeCell ref="L6:L7"/>
    <mergeCell ref="M6:M7"/>
    <mergeCell ref="O6:O7"/>
    <mergeCell ref="P6:P7"/>
  </mergeCells>
  <printOptions horizontalCentered="1"/>
  <pageMargins left="0.25" right="0.25" top="0.75" bottom="0.75" header="0.3" footer="0.3"/>
  <pageSetup paperSize="119" scale="60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0"/>
  <sheetViews>
    <sheetView workbookViewId="0">
      <pane xSplit="1" ySplit="1" topLeftCell="V6" activePane="bottomRight" state="frozen"/>
      <selection activeCell="V13" sqref="V13"/>
      <selection pane="topRight" activeCell="V13" sqref="V13"/>
      <selection pane="bottomLeft" activeCell="V13" sqref="V13"/>
      <selection pane="bottomRight" activeCell="V13" sqref="V13"/>
    </sheetView>
  </sheetViews>
  <sheetFormatPr baseColWidth="10" defaultColWidth="9.140625" defaultRowHeight="13.5"/>
  <cols>
    <col min="1" max="1" width="11" style="79" bestFit="1" customWidth="1"/>
    <col min="2" max="2" width="7.42578125" style="81" bestFit="1" customWidth="1"/>
    <col min="3" max="3" width="7.5703125" style="81" bestFit="1" customWidth="1"/>
    <col min="4" max="4" width="7" style="81" bestFit="1" customWidth="1"/>
    <col min="5" max="5" width="8.7109375" style="81" bestFit="1" customWidth="1"/>
    <col min="6" max="6" width="8.42578125" style="81" bestFit="1" customWidth="1"/>
    <col min="7" max="7" width="7.140625" style="81" bestFit="1" customWidth="1"/>
    <col min="8" max="8" width="7.42578125" style="81" bestFit="1" customWidth="1"/>
    <col min="9" max="9" width="8" style="81" bestFit="1" customWidth="1"/>
    <col min="10" max="10" width="7.5703125" style="81" bestFit="1" customWidth="1"/>
    <col min="11" max="11" width="42.7109375" style="79" bestFit="1" customWidth="1"/>
    <col min="12" max="12" width="7.7109375" style="79" bestFit="1" customWidth="1"/>
    <col min="13" max="13" width="7.85546875" style="79" bestFit="1" customWidth="1"/>
    <col min="14" max="14" width="7.7109375" style="79" bestFit="1" customWidth="1"/>
    <col min="15" max="15" width="9.5703125" style="79" bestFit="1" customWidth="1"/>
    <col min="16" max="16" width="7.28515625" style="79" bestFit="1" customWidth="1"/>
    <col min="17" max="18" width="8.28515625" style="79" bestFit="1" customWidth="1"/>
    <col min="19" max="19" width="8.140625" style="79" bestFit="1" customWidth="1"/>
    <col min="20" max="20" width="11.42578125" style="79" bestFit="1" customWidth="1"/>
    <col min="21" max="21" width="11.5703125" style="79" bestFit="1" customWidth="1"/>
    <col min="22" max="22" width="11.42578125" style="79" bestFit="1" customWidth="1"/>
    <col min="23" max="23" width="13.28515625" style="79" bestFit="1" customWidth="1"/>
    <col min="24" max="24" width="11.42578125" style="79" bestFit="1" customWidth="1"/>
    <col min="25" max="16384" width="9.140625" style="79"/>
  </cols>
  <sheetData>
    <row r="1" spans="1:24">
      <c r="A1" s="82" t="s">
        <v>197</v>
      </c>
      <c r="B1" s="83" t="s">
        <v>198</v>
      </c>
      <c r="C1" s="83" t="s">
        <v>199</v>
      </c>
      <c r="D1" s="83" t="s">
        <v>200</v>
      </c>
      <c r="E1" s="83" t="s">
        <v>201</v>
      </c>
      <c r="F1" s="83" t="s">
        <v>202</v>
      </c>
      <c r="G1" s="83" t="s">
        <v>203</v>
      </c>
      <c r="H1" s="83" t="s">
        <v>204</v>
      </c>
      <c r="I1" s="83" t="s">
        <v>205</v>
      </c>
      <c r="J1" s="83" t="s">
        <v>206</v>
      </c>
      <c r="K1" s="83" t="s">
        <v>8</v>
      </c>
      <c r="L1" s="84" t="s">
        <v>23</v>
      </c>
      <c r="M1" s="84" t="s">
        <v>24</v>
      </c>
      <c r="N1" s="84" t="s">
        <v>25</v>
      </c>
      <c r="O1" s="83" t="s">
        <v>207</v>
      </c>
      <c r="P1" s="83" t="s">
        <v>11</v>
      </c>
      <c r="Q1" s="84" t="s">
        <v>12</v>
      </c>
      <c r="R1" s="84" t="s">
        <v>13</v>
      </c>
      <c r="S1" s="85" t="s">
        <v>14</v>
      </c>
      <c r="T1" s="83" t="s">
        <v>208</v>
      </c>
      <c r="U1" s="83" t="s">
        <v>209</v>
      </c>
      <c r="V1" s="83" t="s">
        <v>210</v>
      </c>
      <c r="W1" s="83" t="s">
        <v>211</v>
      </c>
      <c r="X1" s="83" t="s">
        <v>212</v>
      </c>
    </row>
    <row r="2" spans="1:24">
      <c r="A2" s="86">
        <v>1</v>
      </c>
      <c r="B2" s="87"/>
      <c r="C2" s="87"/>
      <c r="D2" s="87">
        <v>1</v>
      </c>
      <c r="E2" s="87"/>
      <c r="F2" s="87"/>
      <c r="G2" s="87"/>
      <c r="H2" s="87"/>
      <c r="I2" s="87"/>
      <c r="J2" s="87"/>
      <c r="K2" s="88" t="s">
        <v>28</v>
      </c>
      <c r="L2" s="89">
        <v>2</v>
      </c>
      <c r="M2" s="90">
        <v>2</v>
      </c>
      <c r="N2" s="87">
        <v>0</v>
      </c>
      <c r="O2" s="91">
        <f>SUM(L2:N2)</f>
        <v>4</v>
      </c>
      <c r="P2" s="91">
        <v>0</v>
      </c>
      <c r="Q2" s="91">
        <f>(L2*2)+(M2*1)+(N2*1)</f>
        <v>6</v>
      </c>
      <c r="R2" s="92">
        <f>O2+Q2</f>
        <v>10</v>
      </c>
      <c r="S2" s="93">
        <f>ROUND((($L2*1.5)+$M2+$N2),0)</f>
        <v>5</v>
      </c>
      <c r="T2" s="108">
        <f>Table1[[#This Row],[HT]]*15</f>
        <v>30</v>
      </c>
      <c r="U2" s="108">
        <f>Table1[[#This Row],[HP]]*15</f>
        <v>30</v>
      </c>
      <c r="V2" s="108">
        <f>Table1[[#This Row],[HL]]*15</f>
        <v>0</v>
      </c>
      <c r="W2" s="108">
        <f>Table1[[#This Row],[HAD]]*15</f>
        <v>60</v>
      </c>
      <c r="X2" s="108">
        <f>Table1[[#This Row],[TH ]]*15</f>
        <v>150</v>
      </c>
    </row>
    <row r="3" spans="1:24">
      <c r="A3" s="86">
        <v>1</v>
      </c>
      <c r="B3" s="87"/>
      <c r="C3" s="87"/>
      <c r="D3" s="87"/>
      <c r="E3" s="87">
        <v>1</v>
      </c>
      <c r="F3" s="87"/>
      <c r="G3" s="87"/>
      <c r="H3" s="87"/>
      <c r="I3" s="87"/>
      <c r="J3" s="87"/>
      <c r="K3" s="88" t="s">
        <v>38</v>
      </c>
      <c r="L3" s="89">
        <v>1</v>
      </c>
      <c r="M3" s="90">
        <v>2</v>
      </c>
      <c r="N3" s="87">
        <v>0</v>
      </c>
      <c r="O3" s="91">
        <f t="shared" ref="O3:O7" si="0">SUM(L3:N3)</f>
        <v>3</v>
      </c>
      <c r="P3" s="91">
        <v>0</v>
      </c>
      <c r="Q3" s="91">
        <f t="shared" ref="Q3:Q7" si="1">(L3*2)+(M3*1)+(N3*1)</f>
        <v>4</v>
      </c>
      <c r="R3" s="92">
        <f t="shared" ref="R3:R7" si="2">O3+Q3</f>
        <v>7</v>
      </c>
      <c r="S3" s="93">
        <f t="shared" ref="S3:S7" si="3">ROUND((($L3*1.5)+$M3+$N3),0)</f>
        <v>4</v>
      </c>
      <c r="T3" s="87">
        <f>Table1[[#This Row],[HT]]*15</f>
        <v>15</v>
      </c>
      <c r="U3" s="87">
        <f>Table1[[#This Row],[HP]]*15</f>
        <v>30</v>
      </c>
      <c r="V3" s="87">
        <f>Table1[[#This Row],[HL]]*15</f>
        <v>0</v>
      </c>
      <c r="W3" s="87">
        <f>Table1[[#This Row],[HAD]]*15</f>
        <v>45</v>
      </c>
      <c r="X3" s="87">
        <f>Table1[[#This Row],[TH ]]*15</f>
        <v>105</v>
      </c>
    </row>
    <row r="4" spans="1:24">
      <c r="A4" s="86">
        <v>1</v>
      </c>
      <c r="B4" s="87"/>
      <c r="C4" s="87"/>
      <c r="D4" s="87"/>
      <c r="E4" s="87"/>
      <c r="F4" s="87">
        <v>1</v>
      </c>
      <c r="G4" s="87"/>
      <c r="H4" s="87"/>
      <c r="I4" s="87"/>
      <c r="J4" s="87"/>
      <c r="K4" s="94" t="s">
        <v>40</v>
      </c>
      <c r="L4" s="95">
        <v>0</v>
      </c>
      <c r="M4" s="95">
        <v>0</v>
      </c>
      <c r="N4" s="87">
        <v>3</v>
      </c>
      <c r="O4" s="91">
        <f t="shared" si="0"/>
        <v>3</v>
      </c>
      <c r="P4" s="91">
        <v>0</v>
      </c>
      <c r="Q4" s="91">
        <f t="shared" si="1"/>
        <v>3</v>
      </c>
      <c r="R4" s="92">
        <f t="shared" si="2"/>
        <v>6</v>
      </c>
      <c r="S4" s="93">
        <f t="shared" si="3"/>
        <v>3</v>
      </c>
      <c r="T4" s="87">
        <f>Table1[[#This Row],[HT]]*15</f>
        <v>0</v>
      </c>
      <c r="U4" s="87">
        <f>Table1[[#This Row],[HP]]*15</f>
        <v>0</v>
      </c>
      <c r="V4" s="87">
        <f>Table1[[#This Row],[HL]]*15</f>
        <v>45</v>
      </c>
      <c r="W4" s="87">
        <f>Table1[[#This Row],[HAD]]*15</f>
        <v>45</v>
      </c>
      <c r="X4" s="87">
        <f>Table1[[#This Row],[TH ]]*15</f>
        <v>90</v>
      </c>
    </row>
    <row r="5" spans="1:24">
      <c r="A5" s="86">
        <v>1</v>
      </c>
      <c r="B5" s="87"/>
      <c r="C5" s="87"/>
      <c r="D5" s="87"/>
      <c r="E5" s="87"/>
      <c r="F5" s="87"/>
      <c r="G5" s="87"/>
      <c r="H5" s="87"/>
      <c r="I5" s="87">
        <v>1</v>
      </c>
      <c r="J5" s="87"/>
      <c r="K5" s="96" t="s">
        <v>36</v>
      </c>
      <c r="L5" s="97">
        <v>3</v>
      </c>
      <c r="M5" s="97">
        <v>0</v>
      </c>
      <c r="N5" s="98">
        <v>0</v>
      </c>
      <c r="O5" s="91">
        <f>SUM(L5:N5)</f>
        <v>3</v>
      </c>
      <c r="P5" s="91">
        <v>0</v>
      </c>
      <c r="Q5" s="91">
        <f>(L5*2)+(M5*1)+(N5*1)</f>
        <v>6</v>
      </c>
      <c r="R5" s="92">
        <f>O5+Q5</f>
        <v>9</v>
      </c>
      <c r="S5" s="93">
        <f>ROUND((($L5*1.5)+$M5+$N5),0)</f>
        <v>5</v>
      </c>
      <c r="T5" s="87">
        <f>Table1[[#This Row],[HT]]*15</f>
        <v>45</v>
      </c>
      <c r="U5" s="87">
        <f>Table1[[#This Row],[HP]]*15</f>
        <v>0</v>
      </c>
      <c r="V5" s="87">
        <f>Table1[[#This Row],[HL]]*15</f>
        <v>0</v>
      </c>
      <c r="W5" s="87">
        <f>Table1[[#This Row],[HAD]]*15</f>
        <v>45</v>
      </c>
      <c r="X5" s="87">
        <f>Table1[[#This Row],[TH ]]*15</f>
        <v>135</v>
      </c>
    </row>
    <row r="6" spans="1:24">
      <c r="A6" s="86">
        <v>1</v>
      </c>
      <c r="B6" s="87"/>
      <c r="C6" s="87"/>
      <c r="D6" s="87"/>
      <c r="E6" s="87"/>
      <c r="F6" s="87"/>
      <c r="G6" s="87"/>
      <c r="H6" s="87"/>
      <c r="I6" s="87"/>
      <c r="J6" s="87">
        <v>1</v>
      </c>
      <c r="K6" s="88" t="s">
        <v>44</v>
      </c>
      <c r="L6" s="89">
        <v>1</v>
      </c>
      <c r="M6" s="90">
        <v>3</v>
      </c>
      <c r="N6" s="87">
        <v>0</v>
      </c>
      <c r="O6" s="91">
        <f t="shared" si="0"/>
        <v>4</v>
      </c>
      <c r="P6" s="91">
        <v>0</v>
      </c>
      <c r="Q6" s="91">
        <f t="shared" si="1"/>
        <v>5</v>
      </c>
      <c r="R6" s="92">
        <f t="shared" si="2"/>
        <v>9</v>
      </c>
      <c r="S6" s="93">
        <f t="shared" si="3"/>
        <v>5</v>
      </c>
      <c r="T6" s="87">
        <f>Table1[[#This Row],[HT]]*15</f>
        <v>15</v>
      </c>
      <c r="U6" s="87">
        <f>Table1[[#This Row],[HP]]*15</f>
        <v>45</v>
      </c>
      <c r="V6" s="87">
        <f>Table1[[#This Row],[HL]]*15</f>
        <v>0</v>
      </c>
      <c r="W6" s="87">
        <f>Table1[[#This Row],[HAD]]*15</f>
        <v>60</v>
      </c>
      <c r="X6" s="87">
        <f>Table1[[#This Row],[TH ]]*15</f>
        <v>135</v>
      </c>
    </row>
    <row r="7" spans="1:24">
      <c r="A7" s="86">
        <v>1</v>
      </c>
      <c r="B7" s="87"/>
      <c r="C7" s="87"/>
      <c r="D7" s="87"/>
      <c r="E7" s="87"/>
      <c r="F7" s="87"/>
      <c r="G7" s="87"/>
      <c r="H7" s="87"/>
      <c r="I7" s="87"/>
      <c r="J7" s="87">
        <v>1</v>
      </c>
      <c r="K7" s="88" t="s">
        <v>47</v>
      </c>
      <c r="L7" s="89">
        <v>1</v>
      </c>
      <c r="M7" s="90">
        <v>1</v>
      </c>
      <c r="N7" s="87">
        <v>0</v>
      </c>
      <c r="O7" s="91">
        <f t="shared" si="0"/>
        <v>2</v>
      </c>
      <c r="P7" s="91">
        <v>0</v>
      </c>
      <c r="Q7" s="91">
        <f t="shared" si="1"/>
        <v>3</v>
      </c>
      <c r="R7" s="92">
        <f t="shared" si="2"/>
        <v>5</v>
      </c>
      <c r="S7" s="93">
        <f t="shared" si="3"/>
        <v>3</v>
      </c>
      <c r="T7" s="87">
        <f>Table1[[#This Row],[HT]]*15</f>
        <v>15</v>
      </c>
      <c r="U7" s="87">
        <f>Table1[[#This Row],[HP]]*15</f>
        <v>15</v>
      </c>
      <c r="V7" s="87">
        <f>Table1[[#This Row],[HL]]*15</f>
        <v>0</v>
      </c>
      <c r="W7" s="87">
        <f>Table1[[#This Row],[HAD]]*15</f>
        <v>30</v>
      </c>
      <c r="X7" s="87">
        <f>Table1[[#This Row],[TH ]]*15</f>
        <v>75</v>
      </c>
    </row>
    <row r="8" spans="1:24">
      <c r="A8" s="86">
        <v>2</v>
      </c>
      <c r="B8" s="87"/>
      <c r="C8" s="87"/>
      <c r="D8" s="87">
        <v>1</v>
      </c>
      <c r="E8" s="87"/>
      <c r="F8" s="87"/>
      <c r="G8" s="87"/>
      <c r="H8" s="87"/>
      <c r="I8" s="87"/>
      <c r="J8" s="87"/>
      <c r="K8" s="88" t="s">
        <v>49</v>
      </c>
      <c r="L8" s="89">
        <v>2</v>
      </c>
      <c r="M8" s="90">
        <v>3</v>
      </c>
      <c r="N8" s="87">
        <v>0</v>
      </c>
      <c r="O8" s="87">
        <f t="shared" ref="O8:O13" si="4">SUM(L8:N8)</f>
        <v>5</v>
      </c>
      <c r="P8" s="87">
        <v>0</v>
      </c>
      <c r="Q8" s="87">
        <f t="shared" ref="Q8:Q13" si="5">(L8*2)+(M8*1)+(N8*1)</f>
        <v>7</v>
      </c>
      <c r="R8" s="99">
        <f t="shared" ref="R8:R13" si="6">O8+Q8</f>
        <v>12</v>
      </c>
      <c r="S8" s="100">
        <f>ROUND((($L8*1.5)+$M8+$N8),0)</f>
        <v>6</v>
      </c>
      <c r="T8" s="87">
        <f>Table1[[#This Row],[HT]]*15</f>
        <v>30</v>
      </c>
      <c r="U8" s="87">
        <f>Table1[[#This Row],[HP]]*15</f>
        <v>45</v>
      </c>
      <c r="V8" s="87">
        <f>Table1[[#This Row],[HL]]*15</f>
        <v>0</v>
      </c>
      <c r="W8" s="87">
        <f>Table1[[#This Row],[HAD]]*15</f>
        <v>75</v>
      </c>
      <c r="X8" s="87">
        <f>Table1[[#This Row],[TH ]]*15</f>
        <v>180</v>
      </c>
    </row>
    <row r="9" spans="1:24">
      <c r="A9" s="86">
        <v>2</v>
      </c>
      <c r="B9" s="87"/>
      <c r="C9" s="87"/>
      <c r="D9" s="87">
        <v>1</v>
      </c>
      <c r="E9" s="87"/>
      <c r="F9" s="87"/>
      <c r="G9" s="87"/>
      <c r="H9" s="87"/>
      <c r="I9" s="87"/>
      <c r="J9" s="87"/>
      <c r="K9" s="88" t="s">
        <v>50</v>
      </c>
      <c r="L9" s="89">
        <v>2</v>
      </c>
      <c r="M9" s="90">
        <v>3</v>
      </c>
      <c r="N9" s="87">
        <v>0</v>
      </c>
      <c r="O9" s="87">
        <f t="shared" si="4"/>
        <v>5</v>
      </c>
      <c r="P9" s="87">
        <v>0</v>
      </c>
      <c r="Q9" s="87">
        <f t="shared" si="5"/>
        <v>7</v>
      </c>
      <c r="R9" s="99">
        <f t="shared" si="6"/>
        <v>12</v>
      </c>
      <c r="S9" s="100">
        <f t="shared" ref="S9:S13" si="7">ROUND((($L9*1.5)+$M9+$N9),0)</f>
        <v>6</v>
      </c>
      <c r="T9" s="87">
        <f>Table1[[#This Row],[HT]]*15</f>
        <v>30</v>
      </c>
      <c r="U9" s="87">
        <f>Table1[[#This Row],[HP]]*15</f>
        <v>45</v>
      </c>
      <c r="V9" s="87">
        <f>Table1[[#This Row],[HL]]*15</f>
        <v>0</v>
      </c>
      <c r="W9" s="87">
        <f>Table1[[#This Row],[HAD]]*15</f>
        <v>75</v>
      </c>
      <c r="X9" s="87">
        <f>Table1[[#This Row],[TH ]]*15</f>
        <v>180</v>
      </c>
    </row>
    <row r="10" spans="1:24">
      <c r="A10" s="86">
        <v>2</v>
      </c>
      <c r="B10" s="87"/>
      <c r="C10" s="87"/>
      <c r="D10" s="87"/>
      <c r="E10" s="87">
        <v>1</v>
      </c>
      <c r="F10" s="87"/>
      <c r="G10" s="87"/>
      <c r="H10" s="87"/>
      <c r="I10" s="87"/>
      <c r="J10" s="87"/>
      <c r="K10" s="88" t="s">
        <v>52</v>
      </c>
      <c r="L10" s="89">
        <v>2</v>
      </c>
      <c r="M10" s="90">
        <v>3</v>
      </c>
      <c r="N10" s="87">
        <v>0</v>
      </c>
      <c r="O10" s="87">
        <f t="shared" si="4"/>
        <v>5</v>
      </c>
      <c r="P10" s="87">
        <v>0</v>
      </c>
      <c r="Q10" s="87">
        <f t="shared" si="5"/>
        <v>7</v>
      </c>
      <c r="R10" s="99">
        <f t="shared" si="6"/>
        <v>12</v>
      </c>
      <c r="S10" s="100">
        <f t="shared" si="7"/>
        <v>6</v>
      </c>
      <c r="T10" s="87">
        <f>Table1[[#This Row],[HT]]*15</f>
        <v>30</v>
      </c>
      <c r="U10" s="87">
        <f>Table1[[#This Row],[HP]]*15</f>
        <v>45</v>
      </c>
      <c r="V10" s="87">
        <f>Table1[[#This Row],[HL]]*15</f>
        <v>0</v>
      </c>
      <c r="W10" s="87">
        <f>Table1[[#This Row],[HAD]]*15</f>
        <v>75</v>
      </c>
      <c r="X10" s="87">
        <f>Table1[[#This Row],[TH ]]*15</f>
        <v>180</v>
      </c>
    </row>
    <row r="11" spans="1:24">
      <c r="A11" s="86">
        <v>2</v>
      </c>
      <c r="B11" s="87"/>
      <c r="C11" s="87"/>
      <c r="D11" s="87"/>
      <c r="E11" s="87"/>
      <c r="F11" s="87">
        <v>1</v>
      </c>
      <c r="G11" s="87"/>
      <c r="H11" s="87"/>
      <c r="I11" s="87"/>
      <c r="J11" s="87"/>
      <c r="K11" s="88" t="s">
        <v>53</v>
      </c>
      <c r="L11" s="89">
        <v>0</v>
      </c>
      <c r="M11" s="90">
        <v>0</v>
      </c>
      <c r="N11" s="87">
        <v>3</v>
      </c>
      <c r="O11" s="87">
        <f t="shared" si="4"/>
        <v>3</v>
      </c>
      <c r="P11" s="87">
        <v>0</v>
      </c>
      <c r="Q11" s="87">
        <f t="shared" si="5"/>
        <v>3</v>
      </c>
      <c r="R11" s="99">
        <f t="shared" si="6"/>
        <v>6</v>
      </c>
      <c r="S11" s="100">
        <f t="shared" si="7"/>
        <v>3</v>
      </c>
      <c r="T11" s="87">
        <f>Table1[[#This Row],[HT]]*15</f>
        <v>0</v>
      </c>
      <c r="U11" s="87">
        <f>Table1[[#This Row],[HP]]*15</f>
        <v>0</v>
      </c>
      <c r="V11" s="87">
        <f>Table1[[#This Row],[HL]]*15</f>
        <v>45</v>
      </c>
      <c r="W11" s="87">
        <f>Table1[[#This Row],[HAD]]*15</f>
        <v>45</v>
      </c>
      <c r="X11" s="87">
        <f>Table1[[#This Row],[TH ]]*15</f>
        <v>90</v>
      </c>
    </row>
    <row r="12" spans="1:24">
      <c r="A12" s="86">
        <v>2</v>
      </c>
      <c r="B12" s="87"/>
      <c r="C12" s="87"/>
      <c r="D12" s="87"/>
      <c r="E12" s="87"/>
      <c r="F12" s="87">
        <v>1</v>
      </c>
      <c r="G12" s="87"/>
      <c r="H12" s="87"/>
      <c r="I12" s="87"/>
      <c r="J12" s="87"/>
      <c r="K12" s="88" t="s">
        <v>54</v>
      </c>
      <c r="L12" s="89">
        <v>2</v>
      </c>
      <c r="M12" s="90">
        <v>2</v>
      </c>
      <c r="N12" s="87">
        <v>2</v>
      </c>
      <c r="O12" s="87">
        <f t="shared" si="4"/>
        <v>6</v>
      </c>
      <c r="P12" s="87">
        <v>0</v>
      </c>
      <c r="Q12" s="87">
        <f t="shared" si="5"/>
        <v>8</v>
      </c>
      <c r="R12" s="99">
        <f t="shared" si="6"/>
        <v>14</v>
      </c>
      <c r="S12" s="100">
        <f t="shared" si="7"/>
        <v>7</v>
      </c>
      <c r="T12" s="87">
        <f>Table1[[#This Row],[HT]]*15</f>
        <v>30</v>
      </c>
      <c r="U12" s="87">
        <f>Table1[[#This Row],[HP]]*15</f>
        <v>30</v>
      </c>
      <c r="V12" s="87">
        <f>Table1[[#This Row],[HL]]*15</f>
        <v>30</v>
      </c>
      <c r="W12" s="87">
        <f>Table1[[#This Row],[HAD]]*15</f>
        <v>90</v>
      </c>
      <c r="X12" s="87">
        <f>Table1[[#This Row],[TH ]]*15</f>
        <v>210</v>
      </c>
    </row>
    <row r="13" spans="1:24">
      <c r="A13" s="86">
        <v>2</v>
      </c>
      <c r="B13" s="87"/>
      <c r="C13" s="87"/>
      <c r="D13" s="87"/>
      <c r="E13" s="87"/>
      <c r="F13" s="87"/>
      <c r="G13" s="87"/>
      <c r="H13" s="87"/>
      <c r="I13" s="87"/>
      <c r="J13" s="87">
        <v>1</v>
      </c>
      <c r="K13" s="88" t="s">
        <v>56</v>
      </c>
      <c r="L13" s="89">
        <v>1</v>
      </c>
      <c r="M13" s="90">
        <v>1</v>
      </c>
      <c r="N13" s="87">
        <v>0</v>
      </c>
      <c r="O13" s="87">
        <f t="shared" si="4"/>
        <v>2</v>
      </c>
      <c r="P13" s="87">
        <v>0</v>
      </c>
      <c r="Q13" s="87">
        <f t="shared" si="5"/>
        <v>3</v>
      </c>
      <c r="R13" s="99">
        <f t="shared" si="6"/>
        <v>5</v>
      </c>
      <c r="S13" s="100">
        <f t="shared" si="7"/>
        <v>3</v>
      </c>
      <c r="T13" s="87">
        <f>Table1[[#This Row],[HT]]*15</f>
        <v>15</v>
      </c>
      <c r="U13" s="87">
        <f>Table1[[#This Row],[HP]]*15</f>
        <v>15</v>
      </c>
      <c r="V13" s="87">
        <f>Table1[[#This Row],[HL]]*15</f>
        <v>0</v>
      </c>
      <c r="W13" s="87">
        <f>Table1[[#This Row],[HAD]]*15</f>
        <v>30</v>
      </c>
      <c r="X13" s="87">
        <f>Table1[[#This Row],[TH ]]*15</f>
        <v>75</v>
      </c>
    </row>
    <row r="14" spans="1:24">
      <c r="A14" s="86">
        <v>3</v>
      </c>
      <c r="B14" s="87"/>
      <c r="C14" s="87"/>
      <c r="D14" s="87">
        <v>1</v>
      </c>
      <c r="E14" s="87"/>
      <c r="F14" s="87"/>
      <c r="G14" s="87"/>
      <c r="H14" s="87"/>
      <c r="I14" s="87"/>
      <c r="J14" s="87"/>
      <c r="K14" s="88" t="s">
        <v>58</v>
      </c>
      <c r="L14" s="89">
        <v>2</v>
      </c>
      <c r="M14" s="90">
        <v>2</v>
      </c>
      <c r="N14" s="87">
        <v>0</v>
      </c>
      <c r="O14" s="87">
        <f t="shared" ref="O14:O19" si="8">SUM(L14:N14)</f>
        <v>4</v>
      </c>
      <c r="P14" s="87">
        <v>0</v>
      </c>
      <c r="Q14" s="87">
        <f t="shared" ref="Q14:Q19" si="9">(L14*2)+(M14*1)+(N14*1)</f>
        <v>6</v>
      </c>
      <c r="R14" s="99">
        <f t="shared" ref="R14:R17" si="10">O14+Q14</f>
        <v>10</v>
      </c>
      <c r="S14" s="100">
        <f>ROUND((($L14*1.5)+$M14+$N14),0)</f>
        <v>5</v>
      </c>
      <c r="T14" s="87">
        <f>Table1[[#This Row],[HT]]*15</f>
        <v>30</v>
      </c>
      <c r="U14" s="87">
        <f>Table1[[#This Row],[HP]]*15</f>
        <v>30</v>
      </c>
      <c r="V14" s="87">
        <f>Table1[[#This Row],[HL]]*15</f>
        <v>0</v>
      </c>
      <c r="W14" s="87">
        <f>Table1[[#This Row],[HAD]]*15</f>
        <v>60</v>
      </c>
      <c r="X14" s="87">
        <f>Table1[[#This Row],[TH ]]*15</f>
        <v>150</v>
      </c>
    </row>
    <row r="15" spans="1:24">
      <c r="A15" s="86">
        <v>3</v>
      </c>
      <c r="B15" s="87"/>
      <c r="C15" s="87"/>
      <c r="D15" s="87">
        <v>1</v>
      </c>
      <c r="E15" s="87"/>
      <c r="F15" s="87"/>
      <c r="G15" s="87"/>
      <c r="H15" s="87"/>
      <c r="I15" s="87"/>
      <c r="J15" s="87"/>
      <c r="K15" s="88" t="s">
        <v>59</v>
      </c>
      <c r="L15" s="89">
        <v>2</v>
      </c>
      <c r="M15" s="90">
        <v>3</v>
      </c>
      <c r="N15" s="87">
        <v>0</v>
      </c>
      <c r="O15" s="87">
        <f t="shared" si="8"/>
        <v>5</v>
      </c>
      <c r="P15" s="87">
        <v>0</v>
      </c>
      <c r="Q15" s="87">
        <f t="shared" si="9"/>
        <v>7</v>
      </c>
      <c r="R15" s="99">
        <f t="shared" si="10"/>
        <v>12</v>
      </c>
      <c r="S15" s="100">
        <f t="shared" ref="S15:S19" si="11">ROUND((($L15*1.5)+$M15+$N15),0)</f>
        <v>6</v>
      </c>
      <c r="T15" s="87">
        <f>Table1[[#This Row],[HT]]*15</f>
        <v>30</v>
      </c>
      <c r="U15" s="87">
        <f>Table1[[#This Row],[HP]]*15</f>
        <v>45</v>
      </c>
      <c r="V15" s="87">
        <f>Table1[[#This Row],[HL]]*15</f>
        <v>0</v>
      </c>
      <c r="W15" s="87">
        <f>Table1[[#This Row],[HAD]]*15</f>
        <v>75</v>
      </c>
      <c r="X15" s="87">
        <f>Table1[[#This Row],[TH ]]*15</f>
        <v>180</v>
      </c>
    </row>
    <row r="16" spans="1:24">
      <c r="A16" s="86">
        <v>3</v>
      </c>
      <c r="B16" s="87"/>
      <c r="C16" s="87"/>
      <c r="D16" s="87"/>
      <c r="E16" s="87"/>
      <c r="F16" s="87">
        <v>1</v>
      </c>
      <c r="G16" s="87"/>
      <c r="H16" s="87"/>
      <c r="I16" s="87"/>
      <c r="J16" s="87"/>
      <c r="K16" s="88" t="s">
        <v>62</v>
      </c>
      <c r="L16" s="89">
        <v>2</v>
      </c>
      <c r="M16" s="90">
        <v>2</v>
      </c>
      <c r="N16" s="87">
        <v>2</v>
      </c>
      <c r="O16" s="87">
        <f t="shared" si="8"/>
        <v>6</v>
      </c>
      <c r="P16" s="87">
        <v>0</v>
      </c>
      <c r="Q16" s="87">
        <f t="shared" si="9"/>
        <v>8</v>
      </c>
      <c r="R16" s="99">
        <f t="shared" si="10"/>
        <v>14</v>
      </c>
      <c r="S16" s="100">
        <f t="shared" si="11"/>
        <v>7</v>
      </c>
      <c r="T16" s="87">
        <f>Table1[[#This Row],[HT]]*15</f>
        <v>30</v>
      </c>
      <c r="U16" s="87">
        <f>Table1[[#This Row],[HP]]*15</f>
        <v>30</v>
      </c>
      <c r="V16" s="87">
        <f>Table1[[#This Row],[HL]]*15</f>
        <v>30</v>
      </c>
      <c r="W16" s="87">
        <f>Table1[[#This Row],[HAD]]*15</f>
        <v>90</v>
      </c>
      <c r="X16" s="87">
        <f>Table1[[#This Row],[TH ]]*15</f>
        <v>210</v>
      </c>
    </row>
    <row r="17" spans="1:24">
      <c r="A17" s="86">
        <v>3</v>
      </c>
      <c r="B17" s="87"/>
      <c r="C17" s="87"/>
      <c r="D17" s="87"/>
      <c r="E17" s="87"/>
      <c r="F17" s="87"/>
      <c r="G17" s="87">
        <v>1</v>
      </c>
      <c r="H17" s="87"/>
      <c r="I17" s="87"/>
      <c r="J17" s="87"/>
      <c r="K17" s="88" t="s">
        <v>69</v>
      </c>
      <c r="L17" s="89">
        <v>2</v>
      </c>
      <c r="M17" s="90">
        <v>1</v>
      </c>
      <c r="N17" s="87">
        <v>0</v>
      </c>
      <c r="O17" s="87">
        <f t="shared" si="8"/>
        <v>3</v>
      </c>
      <c r="P17" s="87">
        <v>0</v>
      </c>
      <c r="Q17" s="87">
        <f t="shared" si="9"/>
        <v>5</v>
      </c>
      <c r="R17" s="99">
        <f t="shared" si="10"/>
        <v>8</v>
      </c>
      <c r="S17" s="100">
        <f t="shared" si="11"/>
        <v>4</v>
      </c>
      <c r="T17" s="87">
        <f>Table1[[#This Row],[HT]]*15</f>
        <v>30</v>
      </c>
      <c r="U17" s="87">
        <f>Table1[[#This Row],[HP]]*15</f>
        <v>15</v>
      </c>
      <c r="V17" s="87">
        <f>Table1[[#This Row],[HL]]*15</f>
        <v>0</v>
      </c>
      <c r="W17" s="87">
        <f>Table1[[#This Row],[HAD]]*15</f>
        <v>45</v>
      </c>
      <c r="X17" s="87">
        <f>Table1[[#This Row],[TH ]]*15</f>
        <v>120</v>
      </c>
    </row>
    <row r="18" spans="1:24">
      <c r="A18" s="86">
        <v>3</v>
      </c>
      <c r="B18" s="87"/>
      <c r="C18" s="87"/>
      <c r="D18" s="87"/>
      <c r="E18" s="87"/>
      <c r="F18" s="87"/>
      <c r="G18" s="87"/>
      <c r="H18" s="87"/>
      <c r="I18" s="87">
        <v>1</v>
      </c>
      <c r="J18" s="87"/>
      <c r="K18" s="88" t="s">
        <v>65</v>
      </c>
      <c r="L18" s="89">
        <v>2</v>
      </c>
      <c r="M18" s="90">
        <v>2</v>
      </c>
      <c r="N18" s="87">
        <v>0</v>
      </c>
      <c r="O18" s="87">
        <f>SUM(L18:N18)</f>
        <v>4</v>
      </c>
      <c r="P18" s="87">
        <v>0</v>
      </c>
      <c r="Q18" s="87">
        <f>(L18*2)+(M18*1)+(N18*1)</f>
        <v>6</v>
      </c>
      <c r="R18" s="99">
        <f>O18+Q18</f>
        <v>10</v>
      </c>
      <c r="S18" s="100">
        <f>ROUND((($L18*1.5)+$M18+$N18),0)</f>
        <v>5</v>
      </c>
      <c r="T18" s="87">
        <f>Table1[[#This Row],[HT]]*15</f>
        <v>30</v>
      </c>
      <c r="U18" s="87">
        <f>Table1[[#This Row],[HP]]*15</f>
        <v>30</v>
      </c>
      <c r="V18" s="87">
        <f>Table1[[#This Row],[HL]]*15</f>
        <v>0</v>
      </c>
      <c r="W18" s="87">
        <f>Table1[[#This Row],[HAD]]*15</f>
        <v>60</v>
      </c>
      <c r="X18" s="87">
        <f>Table1[[#This Row],[TH ]]*15</f>
        <v>150</v>
      </c>
    </row>
    <row r="19" spans="1:24">
      <c r="A19" s="86">
        <v>3</v>
      </c>
      <c r="B19" s="87"/>
      <c r="C19" s="87"/>
      <c r="D19" s="87"/>
      <c r="E19" s="87"/>
      <c r="F19" s="87"/>
      <c r="G19" s="87"/>
      <c r="H19" s="87"/>
      <c r="I19" s="87"/>
      <c r="J19" s="87">
        <v>1</v>
      </c>
      <c r="K19" s="88" t="s">
        <v>71</v>
      </c>
      <c r="L19" s="89">
        <v>1</v>
      </c>
      <c r="M19" s="90">
        <v>1</v>
      </c>
      <c r="N19" s="87">
        <v>0</v>
      </c>
      <c r="O19" s="87">
        <f t="shared" si="8"/>
        <v>2</v>
      </c>
      <c r="P19" s="87">
        <v>0</v>
      </c>
      <c r="Q19" s="87">
        <f t="shared" si="9"/>
        <v>3</v>
      </c>
      <c r="R19" s="99">
        <f>O19+Q19</f>
        <v>5</v>
      </c>
      <c r="S19" s="100">
        <f t="shared" si="11"/>
        <v>3</v>
      </c>
      <c r="T19" s="87">
        <f>Table1[[#This Row],[HT]]*15</f>
        <v>15</v>
      </c>
      <c r="U19" s="87">
        <f>Table1[[#This Row],[HP]]*15</f>
        <v>15</v>
      </c>
      <c r="V19" s="87">
        <f>Table1[[#This Row],[HL]]*15</f>
        <v>0</v>
      </c>
      <c r="W19" s="87">
        <f>Table1[[#This Row],[HAD]]*15</f>
        <v>30</v>
      </c>
      <c r="X19" s="87">
        <f>Table1[[#This Row],[TH ]]*15</f>
        <v>75</v>
      </c>
    </row>
    <row r="20" spans="1:24">
      <c r="A20" s="86">
        <v>3</v>
      </c>
      <c r="B20" s="87"/>
      <c r="C20" s="87"/>
      <c r="D20" s="87"/>
      <c r="E20" s="87"/>
      <c r="F20" s="87"/>
      <c r="G20" s="87"/>
      <c r="H20" s="87"/>
      <c r="I20" s="87"/>
      <c r="J20" s="87">
        <v>1</v>
      </c>
      <c r="K20" s="88" t="s">
        <v>60</v>
      </c>
      <c r="L20" s="89">
        <v>1</v>
      </c>
      <c r="M20" s="90">
        <v>1</v>
      </c>
      <c r="N20" s="87">
        <v>0</v>
      </c>
      <c r="O20" s="91">
        <f>SUM(L20:N20)</f>
        <v>2</v>
      </c>
      <c r="P20" s="91">
        <v>0</v>
      </c>
      <c r="Q20" s="91">
        <f>(L20*2)+(M20*1)+(N20*1)</f>
        <v>3</v>
      </c>
      <c r="R20" s="92">
        <f>O20+Q20</f>
        <v>5</v>
      </c>
      <c r="S20" s="93">
        <f>ROUND((($L20*1.5)+$M20+$N20),0)</f>
        <v>3</v>
      </c>
      <c r="T20" s="87">
        <f>Table1[[#This Row],[HT]]*15</f>
        <v>15</v>
      </c>
      <c r="U20" s="87">
        <f>Table1[[#This Row],[HP]]*15</f>
        <v>15</v>
      </c>
      <c r="V20" s="87">
        <f>Table1[[#This Row],[HL]]*15</f>
        <v>0</v>
      </c>
      <c r="W20" s="87">
        <f>Table1[[#This Row],[HAD]]*15</f>
        <v>30</v>
      </c>
      <c r="X20" s="87">
        <f>Table1[[#This Row],[TH ]]*15</f>
        <v>75</v>
      </c>
    </row>
    <row r="21" spans="1:24">
      <c r="A21" s="86">
        <v>4</v>
      </c>
      <c r="B21" s="87"/>
      <c r="C21" s="87"/>
      <c r="D21" s="87">
        <v>1</v>
      </c>
      <c r="E21" s="87"/>
      <c r="F21" s="87"/>
      <c r="G21" s="87"/>
      <c r="H21" s="87"/>
      <c r="I21" s="87"/>
      <c r="J21" s="87"/>
      <c r="K21" s="88" t="s">
        <v>74</v>
      </c>
      <c r="L21" s="89">
        <v>2</v>
      </c>
      <c r="M21" s="90">
        <v>2</v>
      </c>
      <c r="N21" s="87">
        <v>0</v>
      </c>
      <c r="O21" s="87">
        <f t="shared" ref="O21:O26" si="12">SUM(L21:N21)</f>
        <v>4</v>
      </c>
      <c r="P21" s="87">
        <v>0</v>
      </c>
      <c r="Q21" s="87">
        <f t="shared" ref="Q21:Q27" si="13">(L21*2)+(M21*1)+(N21*1)</f>
        <v>6</v>
      </c>
      <c r="R21" s="99">
        <f t="shared" ref="R21:R27" si="14">O21+Q21</f>
        <v>10</v>
      </c>
      <c r="S21" s="100">
        <f>ROUND((($L21*1.5)+$M21+$N21),0)</f>
        <v>5</v>
      </c>
      <c r="T21" s="87">
        <f>Table1[[#This Row],[HT]]*15</f>
        <v>30</v>
      </c>
      <c r="U21" s="87">
        <f>Table1[[#This Row],[HP]]*15</f>
        <v>30</v>
      </c>
      <c r="V21" s="87">
        <f>Table1[[#This Row],[HL]]*15</f>
        <v>0</v>
      </c>
      <c r="W21" s="87">
        <f>Table1[[#This Row],[HAD]]*15</f>
        <v>60</v>
      </c>
      <c r="X21" s="87">
        <f>Table1[[#This Row],[TH ]]*15</f>
        <v>150</v>
      </c>
    </row>
    <row r="22" spans="1:24">
      <c r="A22" s="86">
        <v>4</v>
      </c>
      <c r="B22" s="87"/>
      <c r="C22" s="87"/>
      <c r="D22" s="87">
        <v>1</v>
      </c>
      <c r="E22" s="87"/>
      <c r="F22" s="87"/>
      <c r="G22" s="87"/>
      <c r="H22" s="87"/>
      <c r="I22" s="87"/>
      <c r="J22" s="87"/>
      <c r="K22" s="88" t="s">
        <v>76</v>
      </c>
      <c r="L22" s="89">
        <v>2</v>
      </c>
      <c r="M22" s="90">
        <v>1</v>
      </c>
      <c r="N22" s="87">
        <v>0</v>
      </c>
      <c r="O22" s="87">
        <f t="shared" si="12"/>
        <v>3</v>
      </c>
      <c r="P22" s="87">
        <v>0</v>
      </c>
      <c r="Q22" s="87">
        <f t="shared" si="13"/>
        <v>5</v>
      </c>
      <c r="R22" s="99">
        <f t="shared" si="14"/>
        <v>8</v>
      </c>
      <c r="S22" s="100">
        <f t="shared" ref="S22:S27" si="15">ROUND((($L22*1.5)+$M22+$N22),0)</f>
        <v>4</v>
      </c>
      <c r="T22" s="87">
        <f>Table1[[#This Row],[HT]]*15</f>
        <v>30</v>
      </c>
      <c r="U22" s="87">
        <f>Table1[[#This Row],[HP]]*15</f>
        <v>15</v>
      </c>
      <c r="V22" s="87">
        <f>Table1[[#This Row],[HL]]*15</f>
        <v>0</v>
      </c>
      <c r="W22" s="87">
        <f>Table1[[#This Row],[HAD]]*15</f>
        <v>45</v>
      </c>
      <c r="X22" s="87">
        <f>Table1[[#This Row],[TH ]]*15</f>
        <v>120</v>
      </c>
    </row>
    <row r="23" spans="1:24">
      <c r="A23" s="86">
        <v>4</v>
      </c>
      <c r="B23" s="87"/>
      <c r="C23" s="87"/>
      <c r="D23" s="87"/>
      <c r="E23" s="87"/>
      <c r="F23" s="87"/>
      <c r="G23" s="87"/>
      <c r="H23" s="87"/>
      <c r="I23" s="87">
        <v>1</v>
      </c>
      <c r="J23" s="87"/>
      <c r="K23" s="88" t="s">
        <v>78</v>
      </c>
      <c r="L23" s="89">
        <v>2</v>
      </c>
      <c r="M23" s="90">
        <v>1</v>
      </c>
      <c r="N23" s="87">
        <v>0</v>
      </c>
      <c r="O23" s="87">
        <f t="shared" si="12"/>
        <v>3</v>
      </c>
      <c r="P23" s="87">
        <v>0</v>
      </c>
      <c r="Q23" s="87">
        <f t="shared" si="13"/>
        <v>5</v>
      </c>
      <c r="R23" s="99">
        <f t="shared" si="14"/>
        <v>8</v>
      </c>
      <c r="S23" s="100">
        <f t="shared" si="15"/>
        <v>4</v>
      </c>
      <c r="T23" s="87">
        <f>Table1[[#This Row],[HT]]*15</f>
        <v>30</v>
      </c>
      <c r="U23" s="87">
        <f>Table1[[#This Row],[HP]]*15</f>
        <v>15</v>
      </c>
      <c r="V23" s="87">
        <f>Table1[[#This Row],[HL]]*15</f>
        <v>0</v>
      </c>
      <c r="W23" s="87">
        <f>Table1[[#This Row],[HAD]]*15</f>
        <v>45</v>
      </c>
      <c r="X23" s="87">
        <f>Table1[[#This Row],[TH ]]*15</f>
        <v>120</v>
      </c>
    </row>
    <row r="24" spans="1:24">
      <c r="A24" s="86">
        <v>4</v>
      </c>
      <c r="B24" s="87"/>
      <c r="C24" s="87"/>
      <c r="D24" s="87"/>
      <c r="E24" s="87"/>
      <c r="F24" s="87"/>
      <c r="G24" s="87"/>
      <c r="H24" s="87">
        <v>1</v>
      </c>
      <c r="I24" s="87"/>
      <c r="J24" s="87"/>
      <c r="K24" s="88" t="s">
        <v>81</v>
      </c>
      <c r="L24" s="89">
        <v>2</v>
      </c>
      <c r="M24" s="90">
        <v>2</v>
      </c>
      <c r="N24" s="87">
        <v>0</v>
      </c>
      <c r="O24" s="87">
        <f t="shared" si="12"/>
        <v>4</v>
      </c>
      <c r="P24" s="87">
        <v>0</v>
      </c>
      <c r="Q24" s="87">
        <f t="shared" si="13"/>
        <v>6</v>
      </c>
      <c r="R24" s="99">
        <f t="shared" si="14"/>
        <v>10</v>
      </c>
      <c r="S24" s="100">
        <f t="shared" si="15"/>
        <v>5</v>
      </c>
      <c r="T24" s="87">
        <f>Table1[[#This Row],[HT]]*15</f>
        <v>30</v>
      </c>
      <c r="U24" s="87">
        <f>Table1[[#This Row],[HP]]*15</f>
        <v>30</v>
      </c>
      <c r="V24" s="87">
        <f>Table1[[#This Row],[HL]]*15</f>
        <v>0</v>
      </c>
      <c r="W24" s="87">
        <f>Table1[[#This Row],[HAD]]*15</f>
        <v>60</v>
      </c>
      <c r="X24" s="87">
        <f>Table1[[#This Row],[TH ]]*15</f>
        <v>150</v>
      </c>
    </row>
    <row r="25" spans="1:24">
      <c r="A25" s="86">
        <v>4</v>
      </c>
      <c r="B25" s="87"/>
      <c r="C25" s="87"/>
      <c r="D25" s="87"/>
      <c r="E25" s="87"/>
      <c r="F25" s="87">
        <v>1</v>
      </c>
      <c r="G25" s="87"/>
      <c r="H25" s="87"/>
      <c r="I25" s="87"/>
      <c r="J25" s="87"/>
      <c r="K25" s="88" t="s">
        <v>82</v>
      </c>
      <c r="L25" s="89">
        <v>0</v>
      </c>
      <c r="M25" s="90">
        <v>0</v>
      </c>
      <c r="N25" s="87">
        <v>3</v>
      </c>
      <c r="O25" s="87">
        <f t="shared" si="12"/>
        <v>3</v>
      </c>
      <c r="P25" s="87">
        <v>0</v>
      </c>
      <c r="Q25" s="87">
        <f t="shared" si="13"/>
        <v>3</v>
      </c>
      <c r="R25" s="99">
        <f t="shared" si="14"/>
        <v>6</v>
      </c>
      <c r="S25" s="100">
        <f t="shared" si="15"/>
        <v>3</v>
      </c>
      <c r="T25" s="87">
        <f>Table1[[#This Row],[HT]]*15</f>
        <v>0</v>
      </c>
      <c r="U25" s="87">
        <f>Table1[[#This Row],[HP]]*15</f>
        <v>0</v>
      </c>
      <c r="V25" s="87">
        <f>Table1[[#This Row],[HL]]*15</f>
        <v>45</v>
      </c>
      <c r="W25" s="87">
        <f>Table1[[#This Row],[HAD]]*15</f>
        <v>45</v>
      </c>
      <c r="X25" s="87">
        <f>Table1[[#This Row],[TH ]]*15</f>
        <v>90</v>
      </c>
    </row>
    <row r="26" spans="1:24">
      <c r="A26" s="86">
        <v>4</v>
      </c>
      <c r="B26" s="87"/>
      <c r="C26" s="87"/>
      <c r="D26" s="87"/>
      <c r="E26" s="87"/>
      <c r="F26" s="87"/>
      <c r="G26" s="87">
        <v>1</v>
      </c>
      <c r="H26" s="87"/>
      <c r="I26" s="87"/>
      <c r="J26" s="87"/>
      <c r="K26" s="88" t="s">
        <v>83</v>
      </c>
      <c r="L26" s="89">
        <v>2</v>
      </c>
      <c r="M26" s="90">
        <v>2</v>
      </c>
      <c r="N26" s="87">
        <v>0</v>
      </c>
      <c r="O26" s="87">
        <f t="shared" si="12"/>
        <v>4</v>
      </c>
      <c r="P26" s="87">
        <v>0</v>
      </c>
      <c r="Q26" s="87">
        <f t="shared" si="13"/>
        <v>6</v>
      </c>
      <c r="R26" s="99">
        <f t="shared" si="14"/>
        <v>10</v>
      </c>
      <c r="S26" s="100">
        <f t="shared" si="15"/>
        <v>5</v>
      </c>
      <c r="T26" s="87">
        <f>Table1[[#This Row],[HT]]*15</f>
        <v>30</v>
      </c>
      <c r="U26" s="87">
        <f>Table1[[#This Row],[HP]]*15</f>
        <v>30</v>
      </c>
      <c r="V26" s="87">
        <f>Table1[[#This Row],[HL]]*15</f>
        <v>0</v>
      </c>
      <c r="W26" s="87">
        <f>Table1[[#This Row],[HAD]]*15</f>
        <v>60</v>
      </c>
      <c r="X26" s="87">
        <f>Table1[[#This Row],[TH ]]*15</f>
        <v>150</v>
      </c>
    </row>
    <row r="27" spans="1:24">
      <c r="A27" s="86">
        <v>4</v>
      </c>
      <c r="B27" s="87"/>
      <c r="C27" s="87"/>
      <c r="D27" s="87"/>
      <c r="E27" s="87"/>
      <c r="F27" s="87"/>
      <c r="G27" s="87">
        <v>1</v>
      </c>
      <c r="H27" s="87"/>
      <c r="I27" s="87"/>
      <c r="J27" s="87"/>
      <c r="K27" s="88" t="s">
        <v>84</v>
      </c>
      <c r="L27" s="89">
        <v>2</v>
      </c>
      <c r="M27" s="90">
        <v>2</v>
      </c>
      <c r="N27" s="87">
        <v>0</v>
      </c>
      <c r="O27" s="87">
        <f>SUM(L27:N27)</f>
        <v>4</v>
      </c>
      <c r="P27" s="87">
        <v>0</v>
      </c>
      <c r="Q27" s="87">
        <f t="shared" si="13"/>
        <v>6</v>
      </c>
      <c r="R27" s="99">
        <f t="shared" si="14"/>
        <v>10</v>
      </c>
      <c r="S27" s="100">
        <f t="shared" si="15"/>
        <v>5</v>
      </c>
      <c r="T27" s="87">
        <f>Table1[[#This Row],[HT]]*15</f>
        <v>30</v>
      </c>
      <c r="U27" s="87">
        <f>Table1[[#This Row],[HP]]*15</f>
        <v>30</v>
      </c>
      <c r="V27" s="87">
        <f>Table1[[#This Row],[HL]]*15</f>
        <v>0</v>
      </c>
      <c r="W27" s="87">
        <f>Table1[[#This Row],[HAD]]*15</f>
        <v>60</v>
      </c>
      <c r="X27" s="87">
        <f>Table1[[#This Row],[TH ]]*15</f>
        <v>150</v>
      </c>
    </row>
    <row r="28" spans="1:24">
      <c r="A28" s="86">
        <v>5</v>
      </c>
      <c r="B28" s="87"/>
      <c r="C28" s="87"/>
      <c r="D28" s="87">
        <v>1</v>
      </c>
      <c r="E28" s="87"/>
      <c r="F28" s="87"/>
      <c r="G28" s="87"/>
      <c r="H28" s="87"/>
      <c r="I28" s="87"/>
      <c r="J28" s="87"/>
      <c r="K28" s="88" t="s">
        <v>87</v>
      </c>
      <c r="L28" s="89">
        <v>2</v>
      </c>
      <c r="M28" s="90">
        <v>3</v>
      </c>
      <c r="N28" s="87">
        <v>0</v>
      </c>
      <c r="O28" s="87">
        <f t="shared" ref="O28:O34" si="16">SUM(L28:N28)</f>
        <v>5</v>
      </c>
      <c r="P28" s="87">
        <v>0</v>
      </c>
      <c r="Q28" s="87">
        <f t="shared" ref="Q28:Q34" si="17">(L28*2)+(M28*1)+(N28*1)</f>
        <v>7</v>
      </c>
      <c r="R28" s="99">
        <f t="shared" ref="R28:R34" si="18">O28+Q28</f>
        <v>12</v>
      </c>
      <c r="S28" s="100">
        <f>ROUND((($L28*1.5)+$M28+$N28),0)</f>
        <v>6</v>
      </c>
      <c r="T28" s="87">
        <f>Table1[[#This Row],[HT]]*15</f>
        <v>30</v>
      </c>
      <c r="U28" s="87">
        <f>Table1[[#This Row],[HP]]*15</f>
        <v>45</v>
      </c>
      <c r="V28" s="87">
        <f>Table1[[#This Row],[HL]]*15</f>
        <v>0</v>
      </c>
      <c r="W28" s="87">
        <f>Table1[[#This Row],[HAD]]*15</f>
        <v>75</v>
      </c>
      <c r="X28" s="87">
        <f>Table1[[#This Row],[TH ]]*15</f>
        <v>180</v>
      </c>
    </row>
    <row r="29" spans="1:24">
      <c r="A29" s="86">
        <v>5</v>
      </c>
      <c r="B29" s="87"/>
      <c r="C29" s="87"/>
      <c r="D29" s="87">
        <v>1</v>
      </c>
      <c r="E29" s="87"/>
      <c r="F29" s="87"/>
      <c r="G29" s="87"/>
      <c r="H29" s="87"/>
      <c r="I29" s="87"/>
      <c r="J29" s="87"/>
      <c r="K29" s="88" t="s">
        <v>89</v>
      </c>
      <c r="L29" s="89">
        <v>0</v>
      </c>
      <c r="M29" s="90">
        <v>0</v>
      </c>
      <c r="N29" s="87">
        <v>2</v>
      </c>
      <c r="O29" s="87">
        <f t="shared" si="16"/>
        <v>2</v>
      </c>
      <c r="P29" s="87">
        <v>0</v>
      </c>
      <c r="Q29" s="87">
        <f t="shared" si="17"/>
        <v>2</v>
      </c>
      <c r="R29" s="99">
        <f t="shared" si="18"/>
        <v>4</v>
      </c>
      <c r="S29" s="100">
        <f t="shared" ref="S29:S34" si="19">ROUND((($L29*1.5)+$M29+$N29),0)</f>
        <v>2</v>
      </c>
      <c r="T29" s="87">
        <f>Table1[[#This Row],[HT]]*15</f>
        <v>0</v>
      </c>
      <c r="U29" s="87">
        <f>Table1[[#This Row],[HP]]*15</f>
        <v>0</v>
      </c>
      <c r="V29" s="87">
        <f>Table1[[#This Row],[HL]]*15</f>
        <v>30</v>
      </c>
      <c r="W29" s="87">
        <f>Table1[[#This Row],[HAD]]*15</f>
        <v>30</v>
      </c>
      <c r="X29" s="87">
        <f>Table1[[#This Row],[TH ]]*15</f>
        <v>60</v>
      </c>
    </row>
    <row r="30" spans="1:24">
      <c r="A30" s="86">
        <v>5</v>
      </c>
      <c r="B30" s="87"/>
      <c r="C30" s="87"/>
      <c r="D30" s="87"/>
      <c r="E30" s="87"/>
      <c r="F30" s="87"/>
      <c r="G30" s="87"/>
      <c r="H30" s="87"/>
      <c r="I30" s="87">
        <v>1</v>
      </c>
      <c r="J30" s="87"/>
      <c r="K30" s="88" t="s">
        <v>213</v>
      </c>
      <c r="L30" s="89">
        <v>2</v>
      </c>
      <c r="M30" s="90">
        <v>2</v>
      </c>
      <c r="N30" s="87">
        <v>0</v>
      </c>
      <c r="O30" s="87">
        <f t="shared" si="16"/>
        <v>4</v>
      </c>
      <c r="P30" s="87">
        <v>0</v>
      </c>
      <c r="Q30" s="87">
        <f t="shared" si="17"/>
        <v>6</v>
      </c>
      <c r="R30" s="99">
        <f t="shared" si="18"/>
        <v>10</v>
      </c>
      <c r="S30" s="100">
        <f t="shared" si="19"/>
        <v>5</v>
      </c>
      <c r="T30" s="87">
        <f>Table1[[#This Row],[HT]]*15</f>
        <v>30</v>
      </c>
      <c r="U30" s="87">
        <f>Table1[[#This Row],[HP]]*15</f>
        <v>30</v>
      </c>
      <c r="V30" s="87">
        <f>Table1[[#This Row],[HL]]*15</f>
        <v>0</v>
      </c>
      <c r="W30" s="87">
        <f>Table1[[#This Row],[HAD]]*15</f>
        <v>60</v>
      </c>
      <c r="X30" s="87">
        <f>Table1[[#This Row],[TH ]]*15</f>
        <v>150</v>
      </c>
    </row>
    <row r="31" spans="1:24">
      <c r="A31" s="86">
        <v>5</v>
      </c>
      <c r="B31" s="87"/>
      <c r="C31" s="87"/>
      <c r="D31" s="87"/>
      <c r="E31" s="87"/>
      <c r="F31" s="87"/>
      <c r="G31" s="87"/>
      <c r="H31" s="87">
        <v>1</v>
      </c>
      <c r="I31" s="87"/>
      <c r="J31" s="87"/>
      <c r="K31" s="88" t="s">
        <v>92</v>
      </c>
      <c r="L31" s="89">
        <v>2</v>
      </c>
      <c r="M31" s="90">
        <v>2</v>
      </c>
      <c r="N31" s="87">
        <v>0</v>
      </c>
      <c r="O31" s="87">
        <f t="shared" si="16"/>
        <v>4</v>
      </c>
      <c r="P31" s="87">
        <v>0</v>
      </c>
      <c r="Q31" s="87">
        <f t="shared" si="17"/>
        <v>6</v>
      </c>
      <c r="R31" s="99">
        <f t="shared" si="18"/>
        <v>10</v>
      </c>
      <c r="S31" s="100">
        <f t="shared" si="19"/>
        <v>5</v>
      </c>
      <c r="T31" s="87">
        <f>Table1[[#This Row],[HT]]*15</f>
        <v>30</v>
      </c>
      <c r="U31" s="87">
        <f>Table1[[#This Row],[HP]]*15</f>
        <v>30</v>
      </c>
      <c r="V31" s="87">
        <f>Table1[[#This Row],[HL]]*15</f>
        <v>0</v>
      </c>
      <c r="W31" s="87">
        <f>Table1[[#This Row],[HAD]]*15</f>
        <v>60</v>
      </c>
      <c r="X31" s="87">
        <f>Table1[[#This Row],[TH ]]*15</f>
        <v>150</v>
      </c>
    </row>
    <row r="32" spans="1:24">
      <c r="A32" s="86">
        <v>5</v>
      </c>
      <c r="B32" s="87"/>
      <c r="C32" s="87"/>
      <c r="D32" s="87"/>
      <c r="E32" s="87"/>
      <c r="F32" s="87">
        <v>1</v>
      </c>
      <c r="G32" s="87"/>
      <c r="H32" s="87"/>
      <c r="I32" s="87"/>
      <c r="J32" s="87"/>
      <c r="K32" s="88" t="s">
        <v>93</v>
      </c>
      <c r="L32" s="89">
        <v>0</v>
      </c>
      <c r="M32" s="90">
        <v>0</v>
      </c>
      <c r="N32" s="87">
        <v>3</v>
      </c>
      <c r="O32" s="87">
        <f t="shared" si="16"/>
        <v>3</v>
      </c>
      <c r="P32" s="87">
        <v>0</v>
      </c>
      <c r="Q32" s="87">
        <f t="shared" si="17"/>
        <v>3</v>
      </c>
      <c r="R32" s="99">
        <f t="shared" si="18"/>
        <v>6</v>
      </c>
      <c r="S32" s="100">
        <f t="shared" si="19"/>
        <v>3</v>
      </c>
      <c r="T32" s="87">
        <f>Table1[[#This Row],[HT]]*15</f>
        <v>0</v>
      </c>
      <c r="U32" s="87">
        <f>Table1[[#This Row],[HP]]*15</f>
        <v>0</v>
      </c>
      <c r="V32" s="87">
        <f>Table1[[#This Row],[HL]]*15</f>
        <v>45</v>
      </c>
      <c r="W32" s="87">
        <f>Table1[[#This Row],[HAD]]*15</f>
        <v>45</v>
      </c>
      <c r="X32" s="87">
        <f>Table1[[#This Row],[TH ]]*15</f>
        <v>90</v>
      </c>
    </row>
    <row r="33" spans="1:24">
      <c r="A33" s="86">
        <v>5</v>
      </c>
      <c r="B33" s="87"/>
      <c r="C33" s="87"/>
      <c r="D33" s="87"/>
      <c r="E33" s="87"/>
      <c r="F33" s="87"/>
      <c r="G33" s="87">
        <v>1</v>
      </c>
      <c r="H33" s="87"/>
      <c r="I33" s="87"/>
      <c r="J33" s="87"/>
      <c r="K33" s="88" t="s">
        <v>94</v>
      </c>
      <c r="L33" s="89">
        <v>2</v>
      </c>
      <c r="M33" s="90">
        <v>3</v>
      </c>
      <c r="N33" s="87">
        <v>0</v>
      </c>
      <c r="O33" s="87">
        <f t="shared" si="16"/>
        <v>5</v>
      </c>
      <c r="P33" s="87">
        <v>0</v>
      </c>
      <c r="Q33" s="87">
        <f t="shared" si="17"/>
        <v>7</v>
      </c>
      <c r="R33" s="99">
        <f t="shared" si="18"/>
        <v>12</v>
      </c>
      <c r="S33" s="100">
        <f t="shared" si="19"/>
        <v>6</v>
      </c>
      <c r="T33" s="87">
        <f>Table1[[#This Row],[HT]]*15</f>
        <v>30</v>
      </c>
      <c r="U33" s="87">
        <f>Table1[[#This Row],[HP]]*15</f>
        <v>45</v>
      </c>
      <c r="V33" s="87">
        <f>Table1[[#This Row],[HL]]*15</f>
        <v>0</v>
      </c>
      <c r="W33" s="87">
        <f>Table1[[#This Row],[HAD]]*15</f>
        <v>75</v>
      </c>
      <c r="X33" s="87">
        <f>Table1[[#This Row],[TH ]]*15</f>
        <v>180</v>
      </c>
    </row>
    <row r="34" spans="1:24">
      <c r="A34" s="86">
        <v>5</v>
      </c>
      <c r="B34" s="87"/>
      <c r="C34" s="87"/>
      <c r="D34" s="87"/>
      <c r="E34" s="87"/>
      <c r="F34" s="87"/>
      <c r="G34" s="87"/>
      <c r="H34" s="87"/>
      <c r="I34" s="87">
        <v>1</v>
      </c>
      <c r="J34" s="87"/>
      <c r="K34" s="88" t="s">
        <v>96</v>
      </c>
      <c r="L34" s="89">
        <v>2</v>
      </c>
      <c r="M34" s="90">
        <v>1</v>
      </c>
      <c r="N34" s="87">
        <v>0</v>
      </c>
      <c r="O34" s="87">
        <f t="shared" si="16"/>
        <v>3</v>
      </c>
      <c r="P34" s="87">
        <v>0</v>
      </c>
      <c r="Q34" s="87">
        <f t="shared" si="17"/>
        <v>5</v>
      </c>
      <c r="R34" s="99">
        <f t="shared" si="18"/>
        <v>8</v>
      </c>
      <c r="S34" s="100">
        <f t="shared" si="19"/>
        <v>4</v>
      </c>
      <c r="T34" s="87">
        <f>Table1[[#This Row],[HT]]*15</f>
        <v>30</v>
      </c>
      <c r="U34" s="87">
        <f>Table1[[#This Row],[HP]]*15</f>
        <v>15</v>
      </c>
      <c r="V34" s="87">
        <f>Table1[[#This Row],[HL]]*15</f>
        <v>0</v>
      </c>
      <c r="W34" s="87">
        <f>Table1[[#This Row],[HAD]]*15</f>
        <v>45</v>
      </c>
      <c r="X34" s="87">
        <f>Table1[[#This Row],[TH ]]*15</f>
        <v>120</v>
      </c>
    </row>
    <row r="35" spans="1:24">
      <c r="A35" s="86">
        <v>5</v>
      </c>
      <c r="B35" s="87"/>
      <c r="C35" s="87"/>
      <c r="D35" s="87"/>
      <c r="E35" s="87"/>
      <c r="F35" s="87"/>
      <c r="G35" s="87"/>
      <c r="H35" s="87"/>
      <c r="I35" s="87"/>
      <c r="J35" s="87"/>
      <c r="K35" s="88" t="s">
        <v>98</v>
      </c>
      <c r="L35" s="89"/>
      <c r="M35" s="90"/>
      <c r="N35" s="87"/>
      <c r="O35" s="87"/>
      <c r="P35" s="87"/>
      <c r="Q35" s="87"/>
      <c r="R35" s="99"/>
      <c r="S35" s="100"/>
      <c r="T35" s="87">
        <f>Table1[[#This Row],[HT]]*15</f>
        <v>0</v>
      </c>
      <c r="U35" s="87">
        <f>Table1[[#This Row],[HP]]*15</f>
        <v>0</v>
      </c>
      <c r="V35" s="87">
        <f>Table1[[#This Row],[HL]]*15</f>
        <v>0</v>
      </c>
      <c r="W35" s="87">
        <f>Table1[[#This Row],[HAD]]*15</f>
        <v>0</v>
      </c>
      <c r="X35" s="87">
        <f>Table1[[#This Row],[TH ]]*15</f>
        <v>0</v>
      </c>
    </row>
    <row r="36" spans="1:24">
      <c r="A36" s="86">
        <v>6</v>
      </c>
      <c r="B36" s="87"/>
      <c r="C36" s="87"/>
      <c r="D36" s="87">
        <v>1</v>
      </c>
      <c r="E36" s="87"/>
      <c r="F36" s="87"/>
      <c r="G36" s="87"/>
      <c r="H36" s="87"/>
      <c r="I36" s="87"/>
      <c r="J36" s="87"/>
      <c r="K36" s="88" t="s">
        <v>101</v>
      </c>
      <c r="L36" s="89">
        <v>0</v>
      </c>
      <c r="M36" s="90">
        <v>2</v>
      </c>
      <c r="N36" s="87">
        <v>0</v>
      </c>
      <c r="O36" s="87">
        <f t="shared" ref="O36:O42" si="20">SUM(L36:N36)</f>
        <v>2</v>
      </c>
      <c r="P36" s="87">
        <v>0</v>
      </c>
      <c r="Q36" s="87">
        <f t="shared" ref="Q36:Q42" si="21">(L36*2)+(M36*1)+(N36*1)</f>
        <v>2</v>
      </c>
      <c r="R36" s="99">
        <f t="shared" ref="R36:R42" si="22">O36+Q36</f>
        <v>4</v>
      </c>
      <c r="S36" s="100">
        <f>ROUND((($L36*1.5)+$M36+$N36),0)</f>
        <v>2</v>
      </c>
      <c r="T36" s="87">
        <f>Table1[[#This Row],[HT]]*15</f>
        <v>0</v>
      </c>
      <c r="U36" s="87">
        <f>Table1[[#This Row],[HP]]*15</f>
        <v>30</v>
      </c>
      <c r="V36" s="87">
        <f>Table1[[#This Row],[HL]]*15</f>
        <v>0</v>
      </c>
      <c r="W36" s="87">
        <f>Table1[[#This Row],[HAD]]*15</f>
        <v>30</v>
      </c>
      <c r="X36" s="87">
        <f>Table1[[#This Row],[TH ]]*15</f>
        <v>60</v>
      </c>
    </row>
    <row r="37" spans="1:24">
      <c r="A37" s="86">
        <v>6</v>
      </c>
      <c r="B37" s="87"/>
      <c r="C37" s="87"/>
      <c r="D37" s="87"/>
      <c r="E37" s="87"/>
      <c r="F37" s="87"/>
      <c r="G37" s="87"/>
      <c r="H37" s="87"/>
      <c r="I37" s="87"/>
      <c r="J37" s="87">
        <v>1</v>
      </c>
      <c r="K37" s="88" t="s">
        <v>102</v>
      </c>
      <c r="L37" s="89">
        <v>1</v>
      </c>
      <c r="M37" s="90">
        <v>0</v>
      </c>
      <c r="N37" s="87">
        <v>2</v>
      </c>
      <c r="O37" s="87">
        <f t="shared" si="20"/>
        <v>3</v>
      </c>
      <c r="P37" s="87">
        <v>0</v>
      </c>
      <c r="Q37" s="87">
        <f t="shared" si="21"/>
        <v>4</v>
      </c>
      <c r="R37" s="99">
        <f t="shared" si="22"/>
        <v>7</v>
      </c>
      <c r="S37" s="100">
        <f t="shared" ref="S37:S42" si="23">ROUND((($L37*1.5)+$M37+$N37),0)</f>
        <v>4</v>
      </c>
      <c r="T37" s="87">
        <f>Table1[[#This Row],[HT]]*15</f>
        <v>15</v>
      </c>
      <c r="U37" s="87">
        <f>Table1[[#This Row],[HP]]*15</f>
        <v>0</v>
      </c>
      <c r="V37" s="87">
        <f>Table1[[#This Row],[HL]]*15</f>
        <v>30</v>
      </c>
      <c r="W37" s="87">
        <f>Table1[[#This Row],[HAD]]*15</f>
        <v>45</v>
      </c>
      <c r="X37" s="87">
        <f>Table1[[#This Row],[TH ]]*15</f>
        <v>105</v>
      </c>
    </row>
    <row r="38" spans="1:24">
      <c r="A38" s="86">
        <v>6</v>
      </c>
      <c r="B38" s="87"/>
      <c r="C38" s="87"/>
      <c r="D38" s="87"/>
      <c r="E38" s="87"/>
      <c r="F38" s="87"/>
      <c r="G38" s="87"/>
      <c r="H38" s="87">
        <v>1</v>
      </c>
      <c r="I38" s="87"/>
      <c r="J38" s="87"/>
      <c r="K38" s="88" t="s">
        <v>103</v>
      </c>
      <c r="L38" s="89">
        <v>2</v>
      </c>
      <c r="M38" s="90">
        <v>2</v>
      </c>
      <c r="N38" s="87">
        <v>2</v>
      </c>
      <c r="O38" s="87">
        <f t="shared" si="20"/>
        <v>6</v>
      </c>
      <c r="P38" s="87">
        <v>0</v>
      </c>
      <c r="Q38" s="87">
        <f t="shared" si="21"/>
        <v>8</v>
      </c>
      <c r="R38" s="99">
        <f t="shared" si="22"/>
        <v>14</v>
      </c>
      <c r="S38" s="100">
        <f t="shared" si="23"/>
        <v>7</v>
      </c>
      <c r="T38" s="87">
        <f>Table1[[#This Row],[HT]]*15</f>
        <v>30</v>
      </c>
      <c r="U38" s="87">
        <f>Table1[[#This Row],[HP]]*15</f>
        <v>30</v>
      </c>
      <c r="V38" s="87">
        <f>Table1[[#This Row],[HL]]*15</f>
        <v>30</v>
      </c>
      <c r="W38" s="87">
        <f>Table1[[#This Row],[HAD]]*15</f>
        <v>90</v>
      </c>
      <c r="X38" s="87">
        <f>Table1[[#This Row],[TH ]]*15</f>
        <v>210</v>
      </c>
    </row>
    <row r="39" spans="1:24">
      <c r="A39" s="86">
        <v>6</v>
      </c>
      <c r="B39" s="87"/>
      <c r="C39" s="87"/>
      <c r="D39" s="87"/>
      <c r="E39" s="87"/>
      <c r="F39" s="87"/>
      <c r="G39" s="87"/>
      <c r="H39" s="87">
        <v>1</v>
      </c>
      <c r="I39" s="87"/>
      <c r="J39" s="87"/>
      <c r="K39" s="88" t="s">
        <v>104</v>
      </c>
      <c r="L39" s="89">
        <v>2</v>
      </c>
      <c r="M39" s="90">
        <v>1</v>
      </c>
      <c r="N39" s="87">
        <v>2</v>
      </c>
      <c r="O39" s="87">
        <f t="shared" si="20"/>
        <v>5</v>
      </c>
      <c r="P39" s="87">
        <v>0</v>
      </c>
      <c r="Q39" s="87">
        <f t="shared" si="21"/>
        <v>7</v>
      </c>
      <c r="R39" s="99">
        <f t="shared" si="22"/>
        <v>12</v>
      </c>
      <c r="S39" s="100">
        <f t="shared" si="23"/>
        <v>6</v>
      </c>
      <c r="T39" s="87">
        <f>Table1[[#This Row],[HT]]*15</f>
        <v>30</v>
      </c>
      <c r="U39" s="87">
        <f>Table1[[#This Row],[HP]]*15</f>
        <v>15</v>
      </c>
      <c r="V39" s="87">
        <f>Table1[[#This Row],[HL]]*15</f>
        <v>30</v>
      </c>
      <c r="W39" s="87">
        <f>Table1[[#This Row],[HAD]]*15</f>
        <v>75</v>
      </c>
      <c r="X39" s="87">
        <f>Table1[[#This Row],[TH ]]*15</f>
        <v>180</v>
      </c>
    </row>
    <row r="40" spans="1:24">
      <c r="A40" s="86">
        <v>6</v>
      </c>
      <c r="B40" s="87"/>
      <c r="C40" s="87"/>
      <c r="D40" s="87"/>
      <c r="E40" s="87"/>
      <c r="F40" s="87"/>
      <c r="G40" s="87">
        <v>1</v>
      </c>
      <c r="H40" s="87"/>
      <c r="I40" s="87"/>
      <c r="J40" s="87"/>
      <c r="K40" s="88" t="s">
        <v>105</v>
      </c>
      <c r="L40" s="89">
        <v>2</v>
      </c>
      <c r="M40" s="90">
        <v>1</v>
      </c>
      <c r="N40" s="87">
        <v>0</v>
      </c>
      <c r="O40" s="87">
        <f t="shared" si="20"/>
        <v>3</v>
      </c>
      <c r="P40" s="87">
        <v>0</v>
      </c>
      <c r="Q40" s="87">
        <f t="shared" si="21"/>
        <v>5</v>
      </c>
      <c r="R40" s="99">
        <f t="shared" si="22"/>
        <v>8</v>
      </c>
      <c r="S40" s="100">
        <f t="shared" si="23"/>
        <v>4</v>
      </c>
      <c r="T40" s="87">
        <f>Table1[[#This Row],[HT]]*15</f>
        <v>30</v>
      </c>
      <c r="U40" s="87">
        <f>Table1[[#This Row],[HP]]*15</f>
        <v>15</v>
      </c>
      <c r="V40" s="87">
        <f>Table1[[#This Row],[HL]]*15</f>
        <v>0</v>
      </c>
      <c r="W40" s="87">
        <f>Table1[[#This Row],[HAD]]*15</f>
        <v>45</v>
      </c>
      <c r="X40" s="87">
        <f>Table1[[#This Row],[TH ]]*15</f>
        <v>120</v>
      </c>
    </row>
    <row r="41" spans="1:24">
      <c r="A41" s="86">
        <v>6</v>
      </c>
      <c r="B41" s="87"/>
      <c r="C41" s="87"/>
      <c r="D41" s="87"/>
      <c r="E41" s="87"/>
      <c r="F41" s="87"/>
      <c r="G41" s="87">
        <v>1</v>
      </c>
      <c r="H41" s="87"/>
      <c r="I41" s="87"/>
      <c r="J41" s="87"/>
      <c r="K41" s="88" t="s">
        <v>106</v>
      </c>
      <c r="L41" s="89">
        <v>2</v>
      </c>
      <c r="M41" s="90">
        <v>1</v>
      </c>
      <c r="N41" s="87">
        <v>0</v>
      </c>
      <c r="O41" s="87">
        <f t="shared" si="20"/>
        <v>3</v>
      </c>
      <c r="P41" s="87">
        <v>0</v>
      </c>
      <c r="Q41" s="87">
        <f t="shared" si="21"/>
        <v>5</v>
      </c>
      <c r="R41" s="99">
        <f t="shared" si="22"/>
        <v>8</v>
      </c>
      <c r="S41" s="100">
        <f t="shared" si="23"/>
        <v>4</v>
      </c>
      <c r="T41" s="87">
        <f>Table1[[#This Row],[HT]]*15</f>
        <v>30</v>
      </c>
      <c r="U41" s="87">
        <f>Table1[[#This Row],[HP]]*15</f>
        <v>15</v>
      </c>
      <c r="V41" s="87">
        <f>Table1[[#This Row],[HL]]*15</f>
        <v>0</v>
      </c>
      <c r="W41" s="87">
        <f>Table1[[#This Row],[HAD]]*15</f>
        <v>45</v>
      </c>
      <c r="X41" s="87">
        <f>Table1[[#This Row],[TH ]]*15</f>
        <v>120</v>
      </c>
    </row>
    <row r="42" spans="1:24">
      <c r="A42" s="86">
        <v>6</v>
      </c>
      <c r="B42" s="87"/>
      <c r="C42" s="87"/>
      <c r="D42" s="87"/>
      <c r="E42" s="87"/>
      <c r="F42" s="87"/>
      <c r="G42" s="87">
        <v>1</v>
      </c>
      <c r="H42" s="87"/>
      <c r="I42" s="87"/>
      <c r="J42" s="87"/>
      <c r="K42" s="88" t="s">
        <v>108</v>
      </c>
      <c r="L42" s="89">
        <v>2</v>
      </c>
      <c r="M42" s="90">
        <v>1</v>
      </c>
      <c r="N42" s="87">
        <v>0</v>
      </c>
      <c r="O42" s="87">
        <f t="shared" si="20"/>
        <v>3</v>
      </c>
      <c r="P42" s="87">
        <v>0</v>
      </c>
      <c r="Q42" s="87">
        <f t="shared" si="21"/>
        <v>5</v>
      </c>
      <c r="R42" s="99">
        <f t="shared" si="22"/>
        <v>8</v>
      </c>
      <c r="S42" s="100">
        <f t="shared" si="23"/>
        <v>4</v>
      </c>
      <c r="T42" s="87">
        <f>Table1[[#This Row],[HT]]*15</f>
        <v>30</v>
      </c>
      <c r="U42" s="87">
        <f>Table1[[#This Row],[HP]]*15</f>
        <v>15</v>
      </c>
      <c r="V42" s="87">
        <f>Table1[[#This Row],[HL]]*15</f>
        <v>0</v>
      </c>
      <c r="W42" s="87">
        <f>Table1[[#This Row],[HAD]]*15</f>
        <v>45</v>
      </c>
      <c r="X42" s="87">
        <f>Table1[[#This Row],[TH ]]*15</f>
        <v>120</v>
      </c>
    </row>
    <row r="43" spans="1:24">
      <c r="A43" s="86">
        <v>6</v>
      </c>
      <c r="B43" s="87"/>
      <c r="C43" s="87"/>
      <c r="D43" s="87"/>
      <c r="E43" s="87"/>
      <c r="F43" s="87"/>
      <c r="G43" s="87"/>
      <c r="H43" s="87"/>
      <c r="I43" s="87"/>
      <c r="J43" s="87"/>
      <c r="K43" s="88" t="s">
        <v>111</v>
      </c>
      <c r="L43" s="89"/>
      <c r="M43" s="90"/>
      <c r="N43" s="87"/>
      <c r="O43" s="87"/>
      <c r="P43" s="87"/>
      <c r="Q43" s="87"/>
      <c r="R43" s="99"/>
      <c r="S43" s="100"/>
      <c r="T43" s="87">
        <f>Table1[[#This Row],[HT]]*15</f>
        <v>0</v>
      </c>
      <c r="U43" s="87">
        <f>Table1[[#This Row],[HP]]*15</f>
        <v>0</v>
      </c>
      <c r="V43" s="87">
        <f>Table1[[#This Row],[HL]]*15</f>
        <v>0</v>
      </c>
      <c r="W43" s="87">
        <f>Table1[[#This Row],[HAD]]*15</f>
        <v>0</v>
      </c>
      <c r="X43" s="87">
        <f>Table1[[#This Row],[TH ]]*15</f>
        <v>0</v>
      </c>
    </row>
    <row r="44" spans="1:24">
      <c r="A44" s="86">
        <v>7</v>
      </c>
      <c r="B44" s="87"/>
      <c r="C44" s="87"/>
      <c r="D44" s="87"/>
      <c r="E44" s="87"/>
      <c r="F44" s="87">
        <v>1</v>
      </c>
      <c r="G44" s="87"/>
      <c r="H44" s="87"/>
      <c r="I44" s="87"/>
      <c r="J44" s="87"/>
      <c r="K44" s="88" t="s">
        <v>195</v>
      </c>
      <c r="L44" s="89">
        <v>0</v>
      </c>
      <c r="M44" s="90">
        <v>0</v>
      </c>
      <c r="N44" s="87">
        <v>4</v>
      </c>
      <c r="O44" s="87">
        <f>SUM(L44:N44)</f>
        <v>4</v>
      </c>
      <c r="P44" s="87">
        <v>0</v>
      </c>
      <c r="Q44" s="87">
        <f t="shared" ref="Q44:Q50" si="24">(L44*2)+(M44*1)+(N44*1)</f>
        <v>4</v>
      </c>
      <c r="R44" s="99">
        <f t="shared" ref="R44:R51" si="25">O44+Q44</f>
        <v>8</v>
      </c>
      <c r="S44" s="100">
        <f>ROUND((($L44*1.5)+$M44+$N44),0)</f>
        <v>4</v>
      </c>
      <c r="T44" s="87">
        <f>Table1[[#This Row],[HT]]*15</f>
        <v>0</v>
      </c>
      <c r="U44" s="87">
        <f>Table1[[#This Row],[HP]]*15</f>
        <v>0</v>
      </c>
      <c r="V44" s="87">
        <f>Table1[[#This Row],[HL]]*15</f>
        <v>60</v>
      </c>
      <c r="W44" s="87">
        <f>Table1[[#This Row],[HAD]]*15</f>
        <v>60</v>
      </c>
      <c r="X44" s="87">
        <f>Table1[[#This Row],[TH ]]*15</f>
        <v>120</v>
      </c>
    </row>
    <row r="45" spans="1:24">
      <c r="A45" s="86">
        <v>7</v>
      </c>
      <c r="B45" s="87"/>
      <c r="C45" s="87"/>
      <c r="D45" s="87"/>
      <c r="E45" s="87"/>
      <c r="F45" s="87"/>
      <c r="G45" s="87"/>
      <c r="H45" s="87"/>
      <c r="I45" s="87"/>
      <c r="J45" s="87">
        <v>1</v>
      </c>
      <c r="K45" s="88" t="s">
        <v>115</v>
      </c>
      <c r="L45" s="89">
        <v>1</v>
      </c>
      <c r="M45" s="90">
        <v>0</v>
      </c>
      <c r="N45" s="87">
        <v>2</v>
      </c>
      <c r="O45" s="87">
        <f t="shared" ref="O45:O50" si="26">SUM(L45:N45)</f>
        <v>3</v>
      </c>
      <c r="P45" s="87">
        <v>0</v>
      </c>
      <c r="Q45" s="87">
        <f t="shared" si="24"/>
        <v>4</v>
      </c>
      <c r="R45" s="99">
        <f t="shared" si="25"/>
        <v>7</v>
      </c>
      <c r="S45" s="100">
        <f t="shared" ref="S45:S50" si="27">ROUND((($L45*1.5)+$M45+$N45),0)</f>
        <v>4</v>
      </c>
      <c r="T45" s="87">
        <f>Table1[[#This Row],[HT]]*15</f>
        <v>15</v>
      </c>
      <c r="U45" s="87">
        <f>Table1[[#This Row],[HP]]*15</f>
        <v>0</v>
      </c>
      <c r="V45" s="87">
        <f>Table1[[#This Row],[HL]]*15</f>
        <v>30</v>
      </c>
      <c r="W45" s="87">
        <f>Table1[[#This Row],[HAD]]*15</f>
        <v>45</v>
      </c>
      <c r="X45" s="87">
        <f>Table1[[#This Row],[TH ]]*15</f>
        <v>105</v>
      </c>
    </row>
    <row r="46" spans="1:24">
      <c r="A46" s="86">
        <v>7</v>
      </c>
      <c r="B46" s="87"/>
      <c r="C46" s="87"/>
      <c r="D46" s="87"/>
      <c r="E46" s="87"/>
      <c r="F46" s="87"/>
      <c r="G46" s="87"/>
      <c r="H46" s="87"/>
      <c r="I46" s="87">
        <v>1</v>
      </c>
      <c r="J46" s="87"/>
      <c r="K46" s="88" t="s">
        <v>116</v>
      </c>
      <c r="L46" s="89">
        <v>2</v>
      </c>
      <c r="M46" s="90">
        <v>2</v>
      </c>
      <c r="N46" s="87">
        <v>0</v>
      </c>
      <c r="O46" s="87">
        <f t="shared" si="26"/>
        <v>4</v>
      </c>
      <c r="P46" s="87">
        <v>0</v>
      </c>
      <c r="Q46" s="87">
        <f t="shared" si="24"/>
        <v>6</v>
      </c>
      <c r="R46" s="99">
        <f t="shared" si="25"/>
        <v>10</v>
      </c>
      <c r="S46" s="100">
        <f t="shared" si="27"/>
        <v>5</v>
      </c>
      <c r="T46" s="87">
        <f>Table1[[#This Row],[HT]]*15</f>
        <v>30</v>
      </c>
      <c r="U46" s="87">
        <f>Table1[[#This Row],[HP]]*15</f>
        <v>30</v>
      </c>
      <c r="V46" s="87">
        <f>Table1[[#This Row],[HL]]*15</f>
        <v>0</v>
      </c>
      <c r="W46" s="87">
        <f>Table1[[#This Row],[HAD]]*15</f>
        <v>60</v>
      </c>
      <c r="X46" s="87">
        <f>Table1[[#This Row],[TH ]]*15</f>
        <v>150</v>
      </c>
    </row>
    <row r="47" spans="1:24">
      <c r="A47" s="86">
        <v>7</v>
      </c>
      <c r="B47" s="87"/>
      <c r="C47" s="87"/>
      <c r="D47" s="87"/>
      <c r="E47" s="87"/>
      <c r="F47" s="87"/>
      <c r="G47" s="87"/>
      <c r="H47" s="87">
        <v>1</v>
      </c>
      <c r="I47" s="87"/>
      <c r="J47" s="87"/>
      <c r="K47" s="88" t="s">
        <v>119</v>
      </c>
      <c r="L47" s="89">
        <v>2</v>
      </c>
      <c r="M47" s="90">
        <v>0</v>
      </c>
      <c r="N47" s="87">
        <v>2</v>
      </c>
      <c r="O47" s="87">
        <f t="shared" si="26"/>
        <v>4</v>
      </c>
      <c r="P47" s="87">
        <v>0</v>
      </c>
      <c r="Q47" s="87">
        <f t="shared" si="24"/>
        <v>6</v>
      </c>
      <c r="R47" s="99">
        <f t="shared" si="25"/>
        <v>10</v>
      </c>
      <c r="S47" s="100">
        <f t="shared" si="27"/>
        <v>5</v>
      </c>
      <c r="T47" s="87">
        <f>Table1[[#This Row],[HT]]*15</f>
        <v>30</v>
      </c>
      <c r="U47" s="87">
        <f>Table1[[#This Row],[HP]]*15</f>
        <v>0</v>
      </c>
      <c r="V47" s="87">
        <f>Table1[[#This Row],[HL]]*15</f>
        <v>30</v>
      </c>
      <c r="W47" s="87">
        <f>Table1[[#This Row],[HAD]]*15</f>
        <v>60</v>
      </c>
      <c r="X47" s="87">
        <f>Table1[[#This Row],[TH ]]*15</f>
        <v>150</v>
      </c>
    </row>
    <row r="48" spans="1:24">
      <c r="A48" s="86">
        <v>7</v>
      </c>
      <c r="B48" s="87"/>
      <c r="C48" s="87"/>
      <c r="D48" s="87"/>
      <c r="E48" s="87"/>
      <c r="F48" s="87"/>
      <c r="G48" s="87"/>
      <c r="H48" s="87"/>
      <c r="I48" s="87">
        <v>1</v>
      </c>
      <c r="J48" s="87"/>
      <c r="K48" s="96" t="s">
        <v>120</v>
      </c>
      <c r="L48" s="97">
        <v>0</v>
      </c>
      <c r="M48" s="97">
        <v>0</v>
      </c>
      <c r="N48" s="98">
        <v>3</v>
      </c>
      <c r="O48" s="97">
        <f t="shared" si="26"/>
        <v>3</v>
      </c>
      <c r="P48" s="98">
        <v>0</v>
      </c>
      <c r="Q48" s="97">
        <f t="shared" si="24"/>
        <v>3</v>
      </c>
      <c r="R48" s="98">
        <f t="shared" si="25"/>
        <v>6</v>
      </c>
      <c r="S48" s="100">
        <f t="shared" si="27"/>
        <v>3</v>
      </c>
      <c r="T48" s="87">
        <f>Table1[[#This Row],[HT]]*15</f>
        <v>0</v>
      </c>
      <c r="U48" s="87">
        <f>Table1[[#This Row],[HP]]*15</f>
        <v>0</v>
      </c>
      <c r="V48" s="87">
        <f>Table1[[#This Row],[HL]]*15</f>
        <v>45</v>
      </c>
      <c r="W48" s="87">
        <f>Table1[[#This Row],[HAD]]*15</f>
        <v>45</v>
      </c>
      <c r="X48" s="87">
        <f>Table1[[#This Row],[TH ]]*15</f>
        <v>90</v>
      </c>
    </row>
    <row r="49" spans="1:24">
      <c r="A49" s="86">
        <v>7</v>
      </c>
      <c r="B49" s="87"/>
      <c r="C49" s="87"/>
      <c r="D49" s="87"/>
      <c r="E49" s="87"/>
      <c r="F49" s="87"/>
      <c r="G49" s="87">
        <v>1</v>
      </c>
      <c r="H49" s="87"/>
      <c r="I49" s="87"/>
      <c r="J49" s="87"/>
      <c r="K49" s="88" t="s">
        <v>122</v>
      </c>
      <c r="L49" s="89">
        <v>2</v>
      </c>
      <c r="M49" s="90">
        <v>2</v>
      </c>
      <c r="N49" s="87">
        <v>0</v>
      </c>
      <c r="O49" s="87">
        <f t="shared" si="26"/>
        <v>4</v>
      </c>
      <c r="P49" s="87">
        <v>0</v>
      </c>
      <c r="Q49" s="87">
        <f t="shared" si="24"/>
        <v>6</v>
      </c>
      <c r="R49" s="99">
        <f t="shared" si="25"/>
        <v>10</v>
      </c>
      <c r="S49" s="100">
        <f t="shared" si="27"/>
        <v>5</v>
      </c>
      <c r="T49" s="87">
        <f>Table1[[#This Row],[HT]]*15</f>
        <v>30</v>
      </c>
      <c r="U49" s="87">
        <f>Table1[[#This Row],[HP]]*15</f>
        <v>30</v>
      </c>
      <c r="V49" s="87">
        <f>Table1[[#This Row],[HL]]*15</f>
        <v>0</v>
      </c>
      <c r="W49" s="87">
        <f>Table1[[#This Row],[HAD]]*15</f>
        <v>60</v>
      </c>
      <c r="X49" s="87">
        <f>Table1[[#This Row],[TH ]]*15</f>
        <v>150</v>
      </c>
    </row>
    <row r="50" spans="1:24">
      <c r="A50" s="86">
        <v>7</v>
      </c>
      <c r="B50" s="87">
        <v>1</v>
      </c>
      <c r="C50" s="87"/>
      <c r="D50" s="87"/>
      <c r="E50" s="87"/>
      <c r="F50" s="87"/>
      <c r="G50" s="87"/>
      <c r="H50" s="87"/>
      <c r="I50" s="87"/>
      <c r="J50" s="87"/>
      <c r="K50" s="88" t="s">
        <v>125</v>
      </c>
      <c r="L50" s="89">
        <v>2</v>
      </c>
      <c r="M50" s="90">
        <v>1</v>
      </c>
      <c r="N50" s="87">
        <v>0</v>
      </c>
      <c r="O50" s="87">
        <f t="shared" si="26"/>
        <v>3</v>
      </c>
      <c r="P50" s="87">
        <v>0</v>
      </c>
      <c r="Q50" s="87">
        <f t="shared" si="24"/>
        <v>5</v>
      </c>
      <c r="R50" s="99">
        <f t="shared" si="25"/>
        <v>8</v>
      </c>
      <c r="S50" s="100">
        <f t="shared" si="27"/>
        <v>4</v>
      </c>
      <c r="T50" s="87">
        <f>Table1[[#This Row],[HT]]*15</f>
        <v>30</v>
      </c>
      <c r="U50" s="87">
        <f>Table1[[#This Row],[HP]]*15</f>
        <v>15</v>
      </c>
      <c r="V50" s="87">
        <f>Table1[[#This Row],[HL]]*15</f>
        <v>0</v>
      </c>
      <c r="W50" s="87">
        <f>Table1[[#This Row],[HAD]]*15</f>
        <v>45</v>
      </c>
      <c r="X50" s="87">
        <f>Table1[[#This Row],[TH ]]*15</f>
        <v>120</v>
      </c>
    </row>
    <row r="51" spans="1:24">
      <c r="A51" s="86">
        <v>7</v>
      </c>
      <c r="B51" s="87"/>
      <c r="C51" s="87">
        <v>1</v>
      </c>
      <c r="D51" s="87"/>
      <c r="E51" s="87"/>
      <c r="F51" s="87"/>
      <c r="G51" s="87"/>
      <c r="H51" s="87"/>
      <c r="I51" s="87"/>
      <c r="J51" s="87"/>
      <c r="K51" s="88" t="s">
        <v>128</v>
      </c>
      <c r="L51" s="89">
        <v>0</v>
      </c>
      <c r="M51" s="90">
        <v>0</v>
      </c>
      <c r="N51" s="87">
        <v>0</v>
      </c>
      <c r="O51" s="87">
        <f t="shared" ref="O51" si="28">SUM(L51:N51)</f>
        <v>0</v>
      </c>
      <c r="P51" s="87">
        <v>0</v>
      </c>
      <c r="Q51" s="87">
        <v>16</v>
      </c>
      <c r="R51" s="99">
        <f t="shared" si="25"/>
        <v>16</v>
      </c>
      <c r="S51" s="100">
        <v>4</v>
      </c>
      <c r="T51" s="87">
        <f>Table1[[#This Row],[HT]]*15</f>
        <v>0</v>
      </c>
      <c r="U51" s="87">
        <f>Table1[[#This Row],[HP]]*15</f>
        <v>0</v>
      </c>
      <c r="V51" s="87">
        <f>Table1[[#This Row],[HL]]*15</f>
        <v>0</v>
      </c>
      <c r="W51" s="87">
        <f>Table1[[#This Row],[HAD]]*15</f>
        <v>0</v>
      </c>
      <c r="X51" s="87">
        <f>Table1[[#This Row],[TH ]]*15</f>
        <v>240</v>
      </c>
    </row>
    <row r="52" spans="1:24">
      <c r="A52" s="86">
        <v>8</v>
      </c>
      <c r="B52" s="87"/>
      <c r="C52" s="87"/>
      <c r="D52" s="87"/>
      <c r="E52" s="87"/>
      <c r="F52" s="87"/>
      <c r="G52" s="87"/>
      <c r="H52" s="87"/>
      <c r="I52" s="87"/>
      <c r="J52" s="87">
        <v>1</v>
      </c>
      <c r="K52" s="88" t="s">
        <v>131</v>
      </c>
      <c r="L52" s="89">
        <v>1</v>
      </c>
      <c r="M52" s="90">
        <v>1</v>
      </c>
      <c r="N52" s="87">
        <v>0</v>
      </c>
      <c r="O52" s="87">
        <f t="shared" ref="O52:O59" si="29">SUM(L52:N52)</f>
        <v>2</v>
      </c>
      <c r="P52" s="87">
        <v>0</v>
      </c>
      <c r="Q52" s="87">
        <f t="shared" ref="Q52:Q58" si="30">(L52*2)+(M52*1)+(N52*1)</f>
        <v>3</v>
      </c>
      <c r="R52" s="99">
        <f t="shared" ref="R52:R59" si="31">O52+Q52</f>
        <v>5</v>
      </c>
      <c r="S52" s="100">
        <f t="shared" ref="S52:S58" si="32">ROUND((($L52*1.5)+$M52+$N52),0)</f>
        <v>3</v>
      </c>
      <c r="T52" s="87">
        <f>Table1[[#This Row],[HT]]*15</f>
        <v>15</v>
      </c>
      <c r="U52" s="87">
        <f>Table1[[#This Row],[HP]]*15</f>
        <v>15</v>
      </c>
      <c r="V52" s="87">
        <f>Table1[[#This Row],[HL]]*15</f>
        <v>0</v>
      </c>
      <c r="W52" s="87">
        <f>Table1[[#This Row],[HAD]]*15</f>
        <v>30</v>
      </c>
      <c r="X52" s="87">
        <f>Table1[[#This Row],[TH ]]*15</f>
        <v>75</v>
      </c>
    </row>
    <row r="53" spans="1:24">
      <c r="A53" s="86">
        <v>8</v>
      </c>
      <c r="B53" s="87"/>
      <c r="C53" s="87"/>
      <c r="D53" s="87"/>
      <c r="E53" s="87"/>
      <c r="F53" s="87"/>
      <c r="G53" s="87"/>
      <c r="H53" s="87"/>
      <c r="I53" s="87"/>
      <c r="J53" s="87">
        <v>1</v>
      </c>
      <c r="K53" s="88" t="s">
        <v>134</v>
      </c>
      <c r="L53" s="89">
        <v>1</v>
      </c>
      <c r="M53" s="90">
        <v>2</v>
      </c>
      <c r="N53" s="87">
        <v>0</v>
      </c>
      <c r="O53" s="87">
        <f t="shared" si="29"/>
        <v>3</v>
      </c>
      <c r="P53" s="87">
        <v>0</v>
      </c>
      <c r="Q53" s="87">
        <f t="shared" si="30"/>
        <v>4</v>
      </c>
      <c r="R53" s="99">
        <f t="shared" si="31"/>
        <v>7</v>
      </c>
      <c r="S53" s="100">
        <f t="shared" si="32"/>
        <v>4</v>
      </c>
      <c r="T53" s="87">
        <f>Table1[[#This Row],[HT]]*15</f>
        <v>15</v>
      </c>
      <c r="U53" s="87">
        <f>Table1[[#This Row],[HP]]*15</f>
        <v>30</v>
      </c>
      <c r="V53" s="87">
        <f>Table1[[#This Row],[HL]]*15</f>
        <v>0</v>
      </c>
      <c r="W53" s="87">
        <f>Table1[[#This Row],[HAD]]*15</f>
        <v>45</v>
      </c>
      <c r="X53" s="87">
        <f>Table1[[#This Row],[TH ]]*15</f>
        <v>105</v>
      </c>
    </row>
    <row r="54" spans="1:24">
      <c r="A54" s="86">
        <v>8</v>
      </c>
      <c r="B54" s="87"/>
      <c r="C54" s="87"/>
      <c r="D54" s="87"/>
      <c r="E54" s="87"/>
      <c r="F54" s="87"/>
      <c r="G54" s="87"/>
      <c r="H54" s="87"/>
      <c r="I54" s="87">
        <v>1</v>
      </c>
      <c r="J54" s="87"/>
      <c r="K54" s="88" t="s">
        <v>135</v>
      </c>
      <c r="L54" s="89">
        <v>2</v>
      </c>
      <c r="M54" s="90">
        <v>1</v>
      </c>
      <c r="N54" s="87">
        <v>0</v>
      </c>
      <c r="O54" s="87">
        <f t="shared" si="29"/>
        <v>3</v>
      </c>
      <c r="P54" s="87">
        <v>0</v>
      </c>
      <c r="Q54" s="87">
        <f t="shared" si="30"/>
        <v>5</v>
      </c>
      <c r="R54" s="99">
        <f t="shared" si="31"/>
        <v>8</v>
      </c>
      <c r="S54" s="100">
        <f t="shared" si="32"/>
        <v>4</v>
      </c>
      <c r="T54" s="87">
        <f>Table1[[#This Row],[HT]]*15</f>
        <v>30</v>
      </c>
      <c r="U54" s="87">
        <f>Table1[[#This Row],[HP]]*15</f>
        <v>15</v>
      </c>
      <c r="V54" s="87">
        <f>Table1[[#This Row],[HL]]*15</f>
        <v>0</v>
      </c>
      <c r="W54" s="87">
        <f>Table1[[#This Row],[HAD]]*15</f>
        <v>45</v>
      </c>
      <c r="X54" s="87">
        <f>Table1[[#This Row],[TH ]]*15</f>
        <v>120</v>
      </c>
    </row>
    <row r="55" spans="1:24">
      <c r="A55" s="86">
        <v>8</v>
      </c>
      <c r="B55" s="87"/>
      <c r="C55" s="87"/>
      <c r="D55" s="87"/>
      <c r="E55" s="87"/>
      <c r="F55" s="87"/>
      <c r="G55" s="87"/>
      <c r="H55" s="87">
        <v>1</v>
      </c>
      <c r="I55" s="87"/>
      <c r="J55" s="87"/>
      <c r="K55" s="88" t="s">
        <v>136</v>
      </c>
      <c r="L55" s="89">
        <v>2</v>
      </c>
      <c r="M55" s="90">
        <v>2</v>
      </c>
      <c r="N55" s="87">
        <v>0</v>
      </c>
      <c r="O55" s="87">
        <f t="shared" si="29"/>
        <v>4</v>
      </c>
      <c r="P55" s="87">
        <v>0</v>
      </c>
      <c r="Q55" s="87">
        <f t="shared" si="30"/>
        <v>6</v>
      </c>
      <c r="R55" s="99">
        <f t="shared" si="31"/>
        <v>10</v>
      </c>
      <c r="S55" s="100">
        <f t="shared" si="32"/>
        <v>5</v>
      </c>
      <c r="T55" s="87">
        <f>Table1[[#This Row],[HT]]*15</f>
        <v>30</v>
      </c>
      <c r="U55" s="87">
        <f>Table1[[#This Row],[HP]]*15</f>
        <v>30</v>
      </c>
      <c r="V55" s="87">
        <f>Table1[[#This Row],[HL]]*15</f>
        <v>0</v>
      </c>
      <c r="W55" s="87">
        <f>Table1[[#This Row],[HAD]]*15</f>
        <v>60</v>
      </c>
      <c r="X55" s="87">
        <f>Table1[[#This Row],[TH ]]*15</f>
        <v>150</v>
      </c>
    </row>
    <row r="56" spans="1:24">
      <c r="A56" s="86">
        <v>8</v>
      </c>
      <c r="B56" s="87"/>
      <c r="C56" s="87"/>
      <c r="D56" s="87"/>
      <c r="E56" s="87"/>
      <c r="F56" s="87"/>
      <c r="G56" s="87">
        <v>1</v>
      </c>
      <c r="H56" s="87"/>
      <c r="I56" s="87"/>
      <c r="J56" s="87"/>
      <c r="K56" s="88" t="s">
        <v>138</v>
      </c>
      <c r="L56" s="89">
        <v>2</v>
      </c>
      <c r="M56" s="90">
        <v>1</v>
      </c>
      <c r="N56" s="87">
        <v>0</v>
      </c>
      <c r="O56" s="87">
        <f t="shared" si="29"/>
        <v>3</v>
      </c>
      <c r="P56" s="87">
        <v>0</v>
      </c>
      <c r="Q56" s="87">
        <f t="shared" si="30"/>
        <v>5</v>
      </c>
      <c r="R56" s="99">
        <f t="shared" si="31"/>
        <v>8</v>
      </c>
      <c r="S56" s="100">
        <f t="shared" si="32"/>
        <v>4</v>
      </c>
      <c r="T56" s="87">
        <f>Table1[[#This Row],[HT]]*15</f>
        <v>30</v>
      </c>
      <c r="U56" s="87">
        <f>Table1[[#This Row],[HP]]*15</f>
        <v>15</v>
      </c>
      <c r="V56" s="87">
        <f>Table1[[#This Row],[HL]]*15</f>
        <v>0</v>
      </c>
      <c r="W56" s="87">
        <f>Table1[[#This Row],[HAD]]*15</f>
        <v>45</v>
      </c>
      <c r="X56" s="87">
        <f>Table1[[#This Row],[TH ]]*15</f>
        <v>120</v>
      </c>
    </row>
    <row r="57" spans="1:24">
      <c r="A57" s="86">
        <v>8</v>
      </c>
      <c r="B57" s="87">
        <v>1</v>
      </c>
      <c r="C57" s="87"/>
      <c r="D57" s="87"/>
      <c r="E57" s="87"/>
      <c r="F57" s="87"/>
      <c r="G57" s="87"/>
      <c r="H57" s="87"/>
      <c r="I57" s="87"/>
      <c r="J57" s="87"/>
      <c r="K57" s="88" t="s">
        <v>140</v>
      </c>
      <c r="L57" s="89">
        <v>2</v>
      </c>
      <c r="M57" s="90">
        <v>1</v>
      </c>
      <c r="N57" s="87">
        <v>0</v>
      </c>
      <c r="O57" s="87">
        <f t="shared" si="29"/>
        <v>3</v>
      </c>
      <c r="P57" s="87">
        <v>0</v>
      </c>
      <c r="Q57" s="87">
        <f t="shared" si="30"/>
        <v>5</v>
      </c>
      <c r="R57" s="99">
        <f t="shared" si="31"/>
        <v>8</v>
      </c>
      <c r="S57" s="100">
        <f t="shared" si="32"/>
        <v>4</v>
      </c>
      <c r="T57" s="87">
        <f>Table1[[#This Row],[HT]]*15</f>
        <v>30</v>
      </c>
      <c r="U57" s="87">
        <f>Table1[[#This Row],[HP]]*15</f>
        <v>15</v>
      </c>
      <c r="V57" s="87">
        <f>Table1[[#This Row],[HL]]*15</f>
        <v>0</v>
      </c>
      <c r="W57" s="87">
        <f>Table1[[#This Row],[HAD]]*15</f>
        <v>45</v>
      </c>
      <c r="X57" s="87">
        <f>Table1[[#This Row],[TH ]]*15</f>
        <v>120</v>
      </c>
    </row>
    <row r="58" spans="1:24">
      <c r="A58" s="86">
        <v>8</v>
      </c>
      <c r="B58" s="87">
        <v>1</v>
      </c>
      <c r="C58" s="87"/>
      <c r="D58" s="87"/>
      <c r="E58" s="87"/>
      <c r="F58" s="87"/>
      <c r="G58" s="87"/>
      <c r="H58" s="87"/>
      <c r="I58" s="87"/>
      <c r="J58" s="87"/>
      <c r="K58" s="88" t="s">
        <v>142</v>
      </c>
      <c r="L58" s="89">
        <v>2</v>
      </c>
      <c r="M58" s="90">
        <v>1</v>
      </c>
      <c r="N58" s="87">
        <v>0</v>
      </c>
      <c r="O58" s="87">
        <f t="shared" si="29"/>
        <v>3</v>
      </c>
      <c r="P58" s="87">
        <v>0</v>
      </c>
      <c r="Q58" s="87">
        <f t="shared" si="30"/>
        <v>5</v>
      </c>
      <c r="R58" s="99">
        <f t="shared" si="31"/>
        <v>8</v>
      </c>
      <c r="S58" s="100">
        <f t="shared" si="32"/>
        <v>4</v>
      </c>
      <c r="T58" s="87">
        <f>Table1[[#This Row],[HT]]*15</f>
        <v>30</v>
      </c>
      <c r="U58" s="87">
        <f>Table1[[#This Row],[HP]]*15</f>
        <v>15</v>
      </c>
      <c r="V58" s="87">
        <f>Table1[[#This Row],[HL]]*15</f>
        <v>0</v>
      </c>
      <c r="W58" s="87">
        <f>Table1[[#This Row],[HAD]]*15</f>
        <v>45</v>
      </c>
      <c r="X58" s="87">
        <f>Table1[[#This Row],[TH ]]*15</f>
        <v>120</v>
      </c>
    </row>
    <row r="59" spans="1:24">
      <c r="A59" s="101">
        <v>8</v>
      </c>
      <c r="B59" s="102"/>
      <c r="C59" s="102">
        <v>1</v>
      </c>
      <c r="D59" s="102"/>
      <c r="E59" s="102"/>
      <c r="F59" s="102"/>
      <c r="G59" s="102"/>
      <c r="H59" s="102"/>
      <c r="I59" s="102"/>
      <c r="J59" s="102"/>
      <c r="K59" s="103" t="s">
        <v>144</v>
      </c>
      <c r="L59" s="104">
        <v>0</v>
      </c>
      <c r="M59" s="105">
        <v>0</v>
      </c>
      <c r="N59" s="102">
        <v>0</v>
      </c>
      <c r="O59" s="102">
        <f t="shared" si="29"/>
        <v>0</v>
      </c>
      <c r="P59" s="102">
        <v>0</v>
      </c>
      <c r="Q59" s="102">
        <v>40</v>
      </c>
      <c r="R59" s="106">
        <f t="shared" si="31"/>
        <v>40</v>
      </c>
      <c r="S59" s="107">
        <v>21</v>
      </c>
      <c r="T59" s="102">
        <f>Table1[[#This Row],[HT]]*15</f>
        <v>0</v>
      </c>
      <c r="U59" s="102">
        <f>Table1[[#This Row],[HP]]*15</f>
        <v>0</v>
      </c>
      <c r="V59" s="102">
        <f>Table1[[#This Row],[HL]]*15</f>
        <v>0</v>
      </c>
      <c r="W59" s="102">
        <f>Table1[[#This Row],[HAD]]*15</f>
        <v>0</v>
      </c>
      <c r="X59" s="102">
        <f>Table1[[#This Row],[TH ]]*15</f>
        <v>600</v>
      </c>
    </row>
    <row r="60" spans="1:24">
      <c r="A60" s="109">
        <f>SUBTOTAL(101,Table1[SEM])</f>
        <v>4.7413793103448274</v>
      </c>
      <c r="B60" s="110">
        <f>SUBTOTAL(109,Table1[EL])</f>
        <v>3</v>
      </c>
      <c r="C60" s="110">
        <f>SUBTOTAL(109,Table1[PP])</f>
        <v>2</v>
      </c>
      <c r="D60" s="110">
        <f>SUBTOTAL(109,Table1[FI])</f>
        <v>10</v>
      </c>
      <c r="E60" s="110">
        <f>SUBTOTAL(109,Table1[MA])</f>
        <v>2</v>
      </c>
      <c r="F60" s="110">
        <f>SUBTOTAL(109,Table1[CC])</f>
        <v>7</v>
      </c>
      <c r="G60" s="110">
        <f>SUBTOTAL(109,Table1[IS])</f>
        <v>9</v>
      </c>
      <c r="H60" s="110">
        <f>SUBTOTAL(109,Table1[TE])</f>
        <v>6</v>
      </c>
      <c r="I60" s="110">
        <f>SUBTOTAL(109,Table1[FG])</f>
        <v>8</v>
      </c>
      <c r="J60" s="110">
        <f>SUBTOTAL(109,Table1[IN])</f>
        <v>9</v>
      </c>
      <c r="K60" s="111"/>
      <c r="L60" s="110">
        <f>SUBTOTAL(109,Table1[HT])</f>
        <v>83</v>
      </c>
      <c r="M60" s="112">
        <f>SUBTOTAL(109,Table1[HP])</f>
        <v>75</v>
      </c>
      <c r="N60" s="110">
        <f>SUBTOTAL(109,Table1[HL])</f>
        <v>35</v>
      </c>
      <c r="O60" s="110">
        <f>SUBTOTAL(109,Table1[HAD])</f>
        <v>193</v>
      </c>
      <c r="P60" s="110">
        <f>SUBTOTAL(109,Table1[Pr])</f>
        <v>0</v>
      </c>
      <c r="Q60" s="110">
        <f>SUBTOTAL(109,Table1[HTI])</f>
        <v>332</v>
      </c>
      <c r="R60" s="113">
        <f>SUBTOTAL(109,Table1[TH ])</f>
        <v>525</v>
      </c>
      <c r="S60" s="114">
        <f>SUBTOTAL(109,Table1[UC])</f>
        <v>265</v>
      </c>
      <c r="T60" s="110">
        <f>SUBTOTAL(109,Table1[HTSEM])</f>
        <v>1245</v>
      </c>
      <c r="U60" s="110">
        <f>SUBTOTAL(109,Table1[HPSEM])</f>
        <v>1125</v>
      </c>
      <c r="V60" s="110">
        <f>SUBTOTAL(109,Table1[HLSEM])</f>
        <v>525</v>
      </c>
      <c r="W60" s="110">
        <f>SUBTOTAL(109,Table1[HADSEM])</f>
        <v>2895</v>
      </c>
      <c r="X60" s="110">
        <f>SUBTOTAL(109,Table1[THSEM])</f>
        <v>7875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0"/>
  <sheetViews>
    <sheetView workbookViewId="0">
      <selection activeCell="V13" sqref="V13"/>
    </sheetView>
  </sheetViews>
  <sheetFormatPr baseColWidth="10" defaultColWidth="9.140625" defaultRowHeight="14.25"/>
  <cols>
    <col min="1" max="1" width="39.28515625" style="116" bestFit="1" customWidth="1"/>
    <col min="2" max="2" width="17.42578125" style="116" bestFit="1" customWidth="1"/>
    <col min="3" max="3" width="8.85546875" style="116" bestFit="1" customWidth="1"/>
    <col min="4" max="4" width="9" style="116" bestFit="1" customWidth="1"/>
    <col min="5" max="5" width="8.7109375" style="116" bestFit="1" customWidth="1"/>
    <col min="6" max="6" width="10.42578125" style="116" bestFit="1" customWidth="1"/>
    <col min="7" max="7" width="9.42578125" style="116" bestFit="1" customWidth="1"/>
    <col min="8" max="8" width="9.28515625" style="116" bestFit="1" customWidth="1"/>
    <col min="9" max="9" width="12.140625" style="116" bestFit="1" customWidth="1"/>
    <col min="10" max="10" width="12.28515625" style="116" bestFit="1" customWidth="1"/>
    <col min="11" max="11" width="12" style="116" bestFit="1" customWidth="1"/>
    <col min="12" max="12" width="13.85546875" style="116" bestFit="1" customWidth="1"/>
    <col min="13" max="13" width="12.140625" style="116" bestFit="1" customWidth="1"/>
    <col min="14" max="20" width="9.28515625" style="116" bestFit="1" customWidth="1"/>
    <col min="21" max="21" width="4" style="116" bestFit="1" customWidth="1"/>
    <col min="22" max="22" width="12" style="116" bestFit="1" customWidth="1"/>
    <col min="23" max="23" width="2" style="116" bestFit="1" customWidth="1"/>
    <col min="24" max="24" width="13.85546875" style="116" bestFit="1" customWidth="1"/>
    <col min="25" max="25" width="4" style="116" bestFit="1" customWidth="1"/>
    <col min="26" max="26" width="12.140625" style="116" bestFit="1" customWidth="1"/>
    <col min="27" max="27" width="5" style="116" bestFit="1" customWidth="1"/>
    <col min="28" max="28" width="9.28515625" style="116" bestFit="1" customWidth="1"/>
    <col min="29" max="29" width="3" style="116" bestFit="1" customWidth="1"/>
    <col min="30" max="30" width="22" style="116" bestFit="1" customWidth="1"/>
    <col min="31" max="31" width="13.42578125" style="116" bestFit="1" customWidth="1"/>
    <col min="32" max="32" width="13.5703125" style="116" bestFit="1" customWidth="1"/>
    <col min="33" max="33" width="13.28515625" style="116" bestFit="1" customWidth="1"/>
    <col min="34" max="34" width="15" style="116" bestFit="1" customWidth="1"/>
    <col min="35" max="35" width="12.85546875" style="116" bestFit="1" customWidth="1"/>
    <col min="36" max="36" width="14" style="116" bestFit="1" customWidth="1"/>
    <col min="37" max="37" width="13.85546875" style="116" bestFit="1" customWidth="1"/>
    <col min="38" max="38" width="16.7109375" style="116" bestFit="1" customWidth="1"/>
    <col min="39" max="39" width="16.85546875" style="116" bestFit="1" customWidth="1"/>
    <col min="40" max="40" width="16.5703125" style="116" bestFit="1" customWidth="1"/>
    <col min="41" max="41" width="18.42578125" style="116" bestFit="1" customWidth="1"/>
    <col min="42" max="42" width="16.7109375" style="116" bestFit="1" customWidth="1"/>
    <col min="43" max="43" width="13.85546875" style="116" bestFit="1" customWidth="1"/>
    <col min="44" max="16384" width="9.140625" style="116"/>
  </cols>
  <sheetData>
    <row r="1" spans="1:43">
      <c r="A1" s="115" t="s">
        <v>198</v>
      </c>
      <c r="B1" s="116" t="s">
        <v>214</v>
      </c>
    </row>
    <row r="2" spans="1:43">
      <c r="A2" s="115" t="s">
        <v>199</v>
      </c>
      <c r="B2" s="116" t="s">
        <v>214</v>
      </c>
    </row>
    <row r="3" spans="1:43">
      <c r="A3" s="115" t="s">
        <v>200</v>
      </c>
      <c r="B3" s="116" t="s">
        <v>214</v>
      </c>
    </row>
    <row r="4" spans="1:43">
      <c r="A4" s="115" t="s">
        <v>201</v>
      </c>
      <c r="B4" s="116" t="s">
        <v>214</v>
      </c>
    </row>
    <row r="5" spans="1:43">
      <c r="A5" s="115" t="s">
        <v>202</v>
      </c>
      <c r="B5" s="116" t="s">
        <v>214</v>
      </c>
    </row>
    <row r="6" spans="1:43">
      <c r="A6" s="115" t="s">
        <v>203</v>
      </c>
      <c r="B6" s="116" t="s">
        <v>214</v>
      </c>
    </row>
    <row r="7" spans="1:43">
      <c r="A7" s="115" t="s">
        <v>204</v>
      </c>
      <c r="B7" s="116" t="s">
        <v>214</v>
      </c>
    </row>
    <row r="8" spans="1:43">
      <c r="A8" s="115" t="s">
        <v>205</v>
      </c>
      <c r="B8" s="116" t="s">
        <v>214</v>
      </c>
    </row>
    <row r="9" spans="1:43">
      <c r="A9" s="115" t="s">
        <v>206</v>
      </c>
      <c r="B9" s="116" t="s">
        <v>214</v>
      </c>
    </row>
    <row r="11" spans="1:43" ht="15.75">
      <c r="A11" s="115" t="s">
        <v>215</v>
      </c>
      <c r="B11" s="116" t="s">
        <v>216</v>
      </c>
      <c r="C11" s="116" t="s">
        <v>217</v>
      </c>
      <c r="D11" s="116" t="s">
        <v>218</v>
      </c>
      <c r="E11" s="116" t="s">
        <v>219</v>
      </c>
      <c r="F11" s="116" t="s">
        <v>220</v>
      </c>
      <c r="G11" s="116" t="s">
        <v>221</v>
      </c>
      <c r="H11" s="116" t="s">
        <v>222</v>
      </c>
      <c r="I11" s="116" t="s">
        <v>223</v>
      </c>
      <c r="J11" s="116" t="s">
        <v>224</v>
      </c>
      <c r="K11" s="116" t="s">
        <v>225</v>
      </c>
      <c r="L11" s="116" t="s">
        <v>226</v>
      </c>
      <c r="M11" s="116" t="s">
        <v>227</v>
      </c>
      <c r="N11" s="116" t="s">
        <v>228</v>
      </c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ht="15.75">
      <c r="A12" s="117" t="s">
        <v>50</v>
      </c>
      <c r="B12" s="116">
        <v>1</v>
      </c>
      <c r="C12" s="116">
        <v>2</v>
      </c>
      <c r="D12" s="116">
        <v>3</v>
      </c>
      <c r="E12" s="116">
        <v>0</v>
      </c>
      <c r="F12" s="116">
        <v>5</v>
      </c>
      <c r="G12" s="116">
        <v>7</v>
      </c>
      <c r="H12" s="116">
        <v>12</v>
      </c>
      <c r="I12" s="116">
        <v>30</v>
      </c>
      <c r="J12" s="116">
        <v>45</v>
      </c>
      <c r="K12" s="116">
        <v>0</v>
      </c>
      <c r="L12" s="116">
        <v>75</v>
      </c>
      <c r="M12" s="116">
        <v>180</v>
      </c>
      <c r="N12" s="116">
        <v>6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ht="15.75">
      <c r="A13" s="117" t="s">
        <v>28</v>
      </c>
      <c r="B13" s="116">
        <v>1</v>
      </c>
      <c r="C13" s="116">
        <v>2</v>
      </c>
      <c r="D13" s="116">
        <v>2</v>
      </c>
      <c r="E13" s="116">
        <v>0</v>
      </c>
      <c r="F13" s="116">
        <v>4</v>
      </c>
      <c r="G13" s="116">
        <v>6</v>
      </c>
      <c r="H13" s="116">
        <v>10</v>
      </c>
      <c r="I13" s="116">
        <v>30</v>
      </c>
      <c r="J13" s="116">
        <v>30</v>
      </c>
      <c r="K13" s="116">
        <v>0</v>
      </c>
      <c r="L13" s="116">
        <v>60</v>
      </c>
      <c r="M13" s="116">
        <v>150</v>
      </c>
      <c r="N13" s="116">
        <v>5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ht="15.75">
      <c r="A14" s="117" t="s">
        <v>54</v>
      </c>
      <c r="B14" s="116">
        <v>1</v>
      </c>
      <c r="C14" s="116">
        <v>2</v>
      </c>
      <c r="D14" s="116">
        <v>2</v>
      </c>
      <c r="E14" s="116">
        <v>2</v>
      </c>
      <c r="F14" s="116">
        <v>6</v>
      </c>
      <c r="G14" s="116">
        <v>8</v>
      </c>
      <c r="H14" s="116">
        <v>14</v>
      </c>
      <c r="I14" s="116">
        <v>30</v>
      </c>
      <c r="J14" s="116">
        <v>30</v>
      </c>
      <c r="K14" s="116">
        <v>30</v>
      </c>
      <c r="L14" s="116">
        <v>90</v>
      </c>
      <c r="M14" s="116">
        <v>210</v>
      </c>
      <c r="N14" s="116">
        <v>7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ht="15.75">
      <c r="A15" s="117" t="s">
        <v>53</v>
      </c>
      <c r="B15" s="116">
        <v>1</v>
      </c>
      <c r="C15" s="116">
        <v>0</v>
      </c>
      <c r="D15" s="116">
        <v>0</v>
      </c>
      <c r="E15" s="116">
        <v>3</v>
      </c>
      <c r="F15" s="116">
        <v>3</v>
      </c>
      <c r="G15" s="116">
        <v>3</v>
      </c>
      <c r="H15" s="116">
        <v>6</v>
      </c>
      <c r="I15" s="116">
        <v>0</v>
      </c>
      <c r="J15" s="116">
        <v>0</v>
      </c>
      <c r="K15" s="116">
        <v>45</v>
      </c>
      <c r="L15" s="116">
        <v>45</v>
      </c>
      <c r="M15" s="116">
        <v>90</v>
      </c>
      <c r="N15" s="116">
        <v>3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ht="15.75">
      <c r="A16" s="117" t="s">
        <v>103</v>
      </c>
      <c r="B16" s="116">
        <v>1</v>
      </c>
      <c r="C16" s="116">
        <v>2</v>
      </c>
      <c r="D16" s="116">
        <v>2</v>
      </c>
      <c r="E16" s="116">
        <v>2</v>
      </c>
      <c r="F16" s="116">
        <v>6</v>
      </c>
      <c r="G16" s="116">
        <v>8</v>
      </c>
      <c r="H16" s="116">
        <v>14</v>
      </c>
      <c r="I16" s="116">
        <v>30</v>
      </c>
      <c r="J16" s="116">
        <v>30</v>
      </c>
      <c r="K16" s="116">
        <v>30</v>
      </c>
      <c r="L16" s="116">
        <v>90</v>
      </c>
      <c r="M16" s="116">
        <v>210</v>
      </c>
      <c r="N16" s="116">
        <v>7</v>
      </c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ht="15.75">
      <c r="A17" s="117" t="s">
        <v>138</v>
      </c>
      <c r="B17" s="116">
        <v>1</v>
      </c>
      <c r="C17" s="116">
        <v>2</v>
      </c>
      <c r="D17" s="116">
        <v>1</v>
      </c>
      <c r="E17" s="116">
        <v>0</v>
      </c>
      <c r="F17" s="116">
        <v>3</v>
      </c>
      <c r="G17" s="116">
        <v>5</v>
      </c>
      <c r="H17" s="116">
        <v>8</v>
      </c>
      <c r="I17" s="116">
        <v>30</v>
      </c>
      <c r="J17" s="116">
        <v>15</v>
      </c>
      <c r="K17" s="116">
        <v>0</v>
      </c>
      <c r="L17" s="116">
        <v>45</v>
      </c>
      <c r="M17" s="116">
        <v>120</v>
      </c>
      <c r="N17" s="116">
        <v>4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ht="15.75">
      <c r="A18" s="117" t="s">
        <v>108</v>
      </c>
      <c r="B18" s="116">
        <v>1</v>
      </c>
      <c r="C18" s="116">
        <v>2</v>
      </c>
      <c r="D18" s="116">
        <v>1</v>
      </c>
      <c r="E18" s="116">
        <v>0</v>
      </c>
      <c r="F18" s="116">
        <v>3</v>
      </c>
      <c r="G18" s="116">
        <v>5</v>
      </c>
      <c r="H18" s="116">
        <v>8</v>
      </c>
      <c r="I18" s="116">
        <v>30</v>
      </c>
      <c r="J18" s="116">
        <v>15</v>
      </c>
      <c r="K18" s="116">
        <v>0</v>
      </c>
      <c r="L18" s="116">
        <v>45</v>
      </c>
      <c r="M18" s="116">
        <v>120</v>
      </c>
      <c r="N18" s="116">
        <v>4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ht="15.75">
      <c r="A19" s="117" t="s">
        <v>49</v>
      </c>
      <c r="B19" s="116">
        <v>1</v>
      </c>
      <c r="C19" s="116">
        <v>2</v>
      </c>
      <c r="D19" s="116">
        <v>3</v>
      </c>
      <c r="E19" s="116">
        <v>0</v>
      </c>
      <c r="F19" s="116">
        <v>5</v>
      </c>
      <c r="G19" s="116">
        <v>7</v>
      </c>
      <c r="H19" s="116">
        <v>12</v>
      </c>
      <c r="I19" s="116">
        <v>30</v>
      </c>
      <c r="J19" s="116">
        <v>45</v>
      </c>
      <c r="K19" s="116">
        <v>0</v>
      </c>
      <c r="L19" s="116">
        <v>75</v>
      </c>
      <c r="M19" s="116">
        <v>180</v>
      </c>
      <c r="N19" s="116">
        <v>6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ht="15.75">
      <c r="A20" s="117" t="s">
        <v>58</v>
      </c>
      <c r="B20" s="116">
        <v>1</v>
      </c>
      <c r="C20" s="116">
        <v>2</v>
      </c>
      <c r="D20" s="116">
        <v>2</v>
      </c>
      <c r="E20" s="116">
        <v>0</v>
      </c>
      <c r="F20" s="116">
        <v>4</v>
      </c>
      <c r="G20" s="116">
        <v>6</v>
      </c>
      <c r="H20" s="116">
        <v>10</v>
      </c>
      <c r="I20" s="116">
        <v>30</v>
      </c>
      <c r="J20" s="116">
        <v>30</v>
      </c>
      <c r="K20" s="116">
        <v>0</v>
      </c>
      <c r="L20" s="116">
        <v>60</v>
      </c>
      <c r="M20" s="116">
        <v>150</v>
      </c>
      <c r="N20" s="116">
        <v>5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ht="15.75">
      <c r="A21" s="117" t="s">
        <v>74</v>
      </c>
      <c r="B21" s="116">
        <v>1</v>
      </c>
      <c r="C21" s="116">
        <v>2</v>
      </c>
      <c r="D21" s="116">
        <v>2</v>
      </c>
      <c r="E21" s="116">
        <v>0</v>
      </c>
      <c r="F21" s="116">
        <v>4</v>
      </c>
      <c r="G21" s="116">
        <v>6</v>
      </c>
      <c r="H21" s="116">
        <v>10</v>
      </c>
      <c r="I21" s="116">
        <v>30</v>
      </c>
      <c r="J21" s="116">
        <v>30</v>
      </c>
      <c r="K21" s="116">
        <v>0</v>
      </c>
      <c r="L21" s="116">
        <v>60</v>
      </c>
      <c r="M21" s="116">
        <v>150</v>
      </c>
      <c r="N21" s="116">
        <v>5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ht="15.75">
      <c r="A22" s="117" t="s">
        <v>119</v>
      </c>
      <c r="B22" s="116">
        <v>1</v>
      </c>
      <c r="C22" s="116">
        <v>2</v>
      </c>
      <c r="D22" s="116">
        <v>0</v>
      </c>
      <c r="E22" s="116">
        <v>2</v>
      </c>
      <c r="F22" s="116">
        <v>4</v>
      </c>
      <c r="G22" s="116">
        <v>6</v>
      </c>
      <c r="H22" s="116">
        <v>10</v>
      </c>
      <c r="I22" s="116">
        <v>30</v>
      </c>
      <c r="J22" s="116">
        <v>0</v>
      </c>
      <c r="K22" s="116">
        <v>30</v>
      </c>
      <c r="L22" s="116">
        <v>60</v>
      </c>
      <c r="M22" s="116">
        <v>150</v>
      </c>
      <c r="N22" s="116">
        <v>5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ht="15.75">
      <c r="A23" s="117" t="s">
        <v>44</v>
      </c>
      <c r="B23" s="116">
        <v>1</v>
      </c>
      <c r="C23" s="116">
        <v>1</v>
      </c>
      <c r="D23" s="116">
        <v>3</v>
      </c>
      <c r="E23" s="116">
        <v>0</v>
      </c>
      <c r="F23" s="116">
        <v>4</v>
      </c>
      <c r="G23" s="116">
        <v>5</v>
      </c>
      <c r="H23" s="116">
        <v>9</v>
      </c>
      <c r="I23" s="116">
        <v>15</v>
      </c>
      <c r="J23" s="116">
        <v>45</v>
      </c>
      <c r="K23" s="116">
        <v>0</v>
      </c>
      <c r="L23" s="116">
        <v>60</v>
      </c>
      <c r="M23" s="116">
        <v>135</v>
      </c>
      <c r="N23" s="116">
        <v>5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ht="15.75">
      <c r="A24" s="117" t="s">
        <v>136</v>
      </c>
      <c r="B24" s="116">
        <v>1</v>
      </c>
      <c r="C24" s="116">
        <v>2</v>
      </c>
      <c r="D24" s="116">
        <v>2</v>
      </c>
      <c r="E24" s="116">
        <v>0</v>
      </c>
      <c r="F24" s="116">
        <v>4</v>
      </c>
      <c r="G24" s="116">
        <v>6</v>
      </c>
      <c r="H24" s="116">
        <v>10</v>
      </c>
      <c r="I24" s="116">
        <v>30</v>
      </c>
      <c r="J24" s="116">
        <v>30</v>
      </c>
      <c r="K24" s="116">
        <v>0</v>
      </c>
      <c r="L24" s="116">
        <v>60</v>
      </c>
      <c r="M24" s="116">
        <v>150</v>
      </c>
      <c r="N24" s="116">
        <v>5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ht="15.75">
      <c r="A25" s="117" t="s">
        <v>65</v>
      </c>
      <c r="B25" s="116">
        <v>1</v>
      </c>
      <c r="C25" s="116">
        <v>2</v>
      </c>
      <c r="D25" s="116">
        <v>2</v>
      </c>
      <c r="E25" s="116">
        <v>0</v>
      </c>
      <c r="F25" s="116">
        <v>4</v>
      </c>
      <c r="G25" s="116">
        <v>6</v>
      </c>
      <c r="H25" s="116">
        <v>10</v>
      </c>
      <c r="I25" s="116">
        <v>30</v>
      </c>
      <c r="J25" s="116">
        <v>30</v>
      </c>
      <c r="K25" s="116">
        <v>0</v>
      </c>
      <c r="L25" s="116">
        <v>60</v>
      </c>
      <c r="M25" s="116">
        <v>150</v>
      </c>
      <c r="N25" s="116">
        <v>5</v>
      </c>
      <c r="O25"/>
      <c r="P25"/>
      <c r="Q25"/>
      <c r="R25"/>
      <c r="S25"/>
      <c r="T25"/>
    </row>
    <row r="26" spans="1:43" ht="15.75">
      <c r="A26" s="117" t="s">
        <v>98</v>
      </c>
      <c r="B26" s="116">
        <v>1</v>
      </c>
      <c r="I26" s="116">
        <v>0</v>
      </c>
      <c r="J26" s="116">
        <v>0</v>
      </c>
      <c r="K26" s="116">
        <v>0</v>
      </c>
      <c r="L26" s="116">
        <v>0</v>
      </c>
      <c r="M26" s="116">
        <v>0</v>
      </c>
      <c r="O26"/>
      <c r="P26"/>
      <c r="Q26"/>
      <c r="R26"/>
      <c r="S26"/>
      <c r="T26"/>
    </row>
    <row r="27" spans="1:43" ht="15.75">
      <c r="A27" s="117" t="s">
        <v>122</v>
      </c>
      <c r="B27" s="116">
        <v>1</v>
      </c>
      <c r="C27" s="116">
        <v>2</v>
      </c>
      <c r="D27" s="116">
        <v>2</v>
      </c>
      <c r="E27" s="116">
        <v>0</v>
      </c>
      <c r="F27" s="116">
        <v>4</v>
      </c>
      <c r="G27" s="116">
        <v>6</v>
      </c>
      <c r="H27" s="116">
        <v>10</v>
      </c>
      <c r="I27" s="116">
        <v>30</v>
      </c>
      <c r="J27" s="116">
        <v>30</v>
      </c>
      <c r="K27" s="116">
        <v>0</v>
      </c>
      <c r="L27" s="116">
        <v>60</v>
      </c>
      <c r="M27" s="116">
        <v>150</v>
      </c>
      <c r="N27" s="116">
        <v>5</v>
      </c>
      <c r="O27"/>
      <c r="P27"/>
      <c r="Q27"/>
      <c r="R27"/>
      <c r="S27"/>
      <c r="T27"/>
    </row>
    <row r="28" spans="1:43" ht="15.75">
      <c r="A28" s="117" t="s">
        <v>60</v>
      </c>
      <c r="B28" s="116">
        <v>1</v>
      </c>
      <c r="C28" s="116">
        <v>1</v>
      </c>
      <c r="D28" s="116">
        <v>1</v>
      </c>
      <c r="E28" s="116">
        <v>0</v>
      </c>
      <c r="F28" s="116">
        <v>2</v>
      </c>
      <c r="G28" s="116">
        <v>3</v>
      </c>
      <c r="H28" s="116">
        <v>5</v>
      </c>
      <c r="I28" s="116">
        <v>15</v>
      </c>
      <c r="J28" s="116">
        <v>15</v>
      </c>
      <c r="K28" s="116">
        <v>0</v>
      </c>
      <c r="L28" s="116">
        <v>30</v>
      </c>
      <c r="M28" s="116">
        <v>75</v>
      </c>
      <c r="N28" s="116">
        <v>3</v>
      </c>
      <c r="O28"/>
      <c r="P28"/>
      <c r="Q28"/>
      <c r="R28"/>
      <c r="S28"/>
      <c r="T28"/>
    </row>
    <row r="29" spans="1:43" ht="15.75">
      <c r="A29" s="117" t="s">
        <v>76</v>
      </c>
      <c r="B29" s="116">
        <v>1</v>
      </c>
      <c r="C29" s="116">
        <v>2</v>
      </c>
      <c r="D29" s="116">
        <v>1</v>
      </c>
      <c r="E29" s="116">
        <v>0</v>
      </c>
      <c r="F29" s="116">
        <v>3</v>
      </c>
      <c r="G29" s="116">
        <v>5</v>
      </c>
      <c r="H29" s="116">
        <v>8</v>
      </c>
      <c r="I29" s="116">
        <v>30</v>
      </c>
      <c r="J29" s="116">
        <v>15</v>
      </c>
      <c r="K29" s="116">
        <v>0</v>
      </c>
      <c r="L29" s="116">
        <v>45</v>
      </c>
      <c r="M29" s="116">
        <v>120</v>
      </c>
      <c r="N29" s="116">
        <v>4</v>
      </c>
      <c r="O29"/>
      <c r="P29"/>
      <c r="Q29"/>
      <c r="R29"/>
      <c r="S29"/>
      <c r="T29"/>
    </row>
    <row r="30" spans="1:43" ht="15.75">
      <c r="A30" s="117" t="s">
        <v>142</v>
      </c>
      <c r="B30" s="116">
        <v>1</v>
      </c>
      <c r="C30" s="116">
        <v>2</v>
      </c>
      <c r="D30" s="116">
        <v>1</v>
      </c>
      <c r="E30" s="116">
        <v>0</v>
      </c>
      <c r="F30" s="116">
        <v>3</v>
      </c>
      <c r="G30" s="116">
        <v>5</v>
      </c>
      <c r="H30" s="116">
        <v>8</v>
      </c>
      <c r="I30" s="116">
        <v>30</v>
      </c>
      <c r="J30" s="116">
        <v>15</v>
      </c>
      <c r="K30" s="116">
        <v>0</v>
      </c>
      <c r="L30" s="116">
        <v>45</v>
      </c>
      <c r="M30" s="116">
        <v>120</v>
      </c>
      <c r="N30" s="116">
        <v>4</v>
      </c>
      <c r="O30"/>
      <c r="P30"/>
      <c r="Q30"/>
      <c r="R30"/>
      <c r="S30"/>
      <c r="T30"/>
    </row>
    <row r="31" spans="1:43" ht="15.75">
      <c r="A31" s="117" t="s">
        <v>125</v>
      </c>
      <c r="B31" s="116">
        <v>1</v>
      </c>
      <c r="C31" s="116">
        <v>2</v>
      </c>
      <c r="D31" s="116">
        <v>1</v>
      </c>
      <c r="E31" s="116">
        <v>0</v>
      </c>
      <c r="F31" s="116">
        <v>3</v>
      </c>
      <c r="G31" s="116">
        <v>5</v>
      </c>
      <c r="H31" s="116">
        <v>8</v>
      </c>
      <c r="I31" s="116">
        <v>30</v>
      </c>
      <c r="J31" s="116">
        <v>15</v>
      </c>
      <c r="K31" s="116">
        <v>0</v>
      </c>
      <c r="L31" s="116">
        <v>45</v>
      </c>
      <c r="M31" s="116">
        <v>120</v>
      </c>
      <c r="N31" s="116">
        <v>4</v>
      </c>
      <c r="O31"/>
      <c r="P31"/>
      <c r="Q31"/>
      <c r="R31"/>
      <c r="S31"/>
      <c r="T31"/>
    </row>
    <row r="32" spans="1:43" ht="15.75">
      <c r="A32" s="117" t="s">
        <v>140</v>
      </c>
      <c r="B32" s="116">
        <v>1</v>
      </c>
      <c r="C32" s="116">
        <v>2</v>
      </c>
      <c r="D32" s="116">
        <v>1</v>
      </c>
      <c r="E32" s="116">
        <v>0</v>
      </c>
      <c r="F32" s="116">
        <v>3</v>
      </c>
      <c r="G32" s="116">
        <v>5</v>
      </c>
      <c r="H32" s="116">
        <v>8</v>
      </c>
      <c r="I32" s="116">
        <v>30</v>
      </c>
      <c r="J32" s="116">
        <v>15</v>
      </c>
      <c r="K32" s="116">
        <v>0</v>
      </c>
      <c r="L32" s="116">
        <v>45</v>
      </c>
      <c r="M32" s="116">
        <v>120</v>
      </c>
      <c r="N32" s="116">
        <v>4</v>
      </c>
      <c r="O32"/>
      <c r="P32"/>
      <c r="Q32"/>
      <c r="R32"/>
      <c r="S32"/>
      <c r="T32"/>
    </row>
    <row r="33" spans="1:20" ht="15.75">
      <c r="A33" s="117" t="s">
        <v>87</v>
      </c>
      <c r="B33" s="116">
        <v>1</v>
      </c>
      <c r="C33" s="116">
        <v>2</v>
      </c>
      <c r="D33" s="116">
        <v>3</v>
      </c>
      <c r="E33" s="116">
        <v>0</v>
      </c>
      <c r="F33" s="116">
        <v>5</v>
      </c>
      <c r="G33" s="116">
        <v>7</v>
      </c>
      <c r="H33" s="116">
        <v>12</v>
      </c>
      <c r="I33" s="116">
        <v>30</v>
      </c>
      <c r="J33" s="116">
        <v>45</v>
      </c>
      <c r="K33" s="116">
        <v>0</v>
      </c>
      <c r="L33" s="116">
        <v>75</v>
      </c>
      <c r="M33" s="116">
        <v>180</v>
      </c>
      <c r="N33" s="116">
        <v>6</v>
      </c>
      <c r="O33"/>
      <c r="P33"/>
      <c r="Q33"/>
      <c r="R33"/>
      <c r="S33"/>
      <c r="T33"/>
    </row>
    <row r="34" spans="1:20" ht="15.75">
      <c r="A34" s="117" t="s">
        <v>131</v>
      </c>
      <c r="B34" s="116">
        <v>1</v>
      </c>
      <c r="C34" s="116">
        <v>1</v>
      </c>
      <c r="D34" s="116">
        <v>1</v>
      </c>
      <c r="E34" s="116">
        <v>0</v>
      </c>
      <c r="F34" s="116">
        <v>2</v>
      </c>
      <c r="G34" s="116">
        <v>3</v>
      </c>
      <c r="H34" s="116">
        <v>5</v>
      </c>
      <c r="I34" s="116">
        <v>15</v>
      </c>
      <c r="J34" s="116">
        <v>15</v>
      </c>
      <c r="K34" s="116">
        <v>0</v>
      </c>
      <c r="L34" s="116">
        <v>30</v>
      </c>
      <c r="M34" s="116">
        <v>75</v>
      </c>
      <c r="N34" s="116">
        <v>3</v>
      </c>
      <c r="O34"/>
      <c r="P34"/>
      <c r="Q34"/>
      <c r="R34"/>
      <c r="S34"/>
      <c r="T34"/>
    </row>
    <row r="35" spans="1:20" ht="15.75">
      <c r="A35" s="117" t="s">
        <v>135</v>
      </c>
      <c r="B35" s="116">
        <v>1</v>
      </c>
      <c r="C35" s="116">
        <v>2</v>
      </c>
      <c r="D35" s="116">
        <v>1</v>
      </c>
      <c r="E35" s="116">
        <v>0</v>
      </c>
      <c r="F35" s="116">
        <v>3</v>
      </c>
      <c r="G35" s="116">
        <v>5</v>
      </c>
      <c r="H35" s="116">
        <v>8</v>
      </c>
      <c r="I35" s="116">
        <v>30</v>
      </c>
      <c r="J35" s="116">
        <v>15</v>
      </c>
      <c r="K35" s="116">
        <v>0</v>
      </c>
      <c r="L35" s="116">
        <v>45</v>
      </c>
      <c r="M35" s="116">
        <v>120</v>
      </c>
      <c r="N35" s="116">
        <v>4</v>
      </c>
      <c r="O35"/>
      <c r="P35"/>
      <c r="Q35"/>
      <c r="R35"/>
      <c r="S35"/>
      <c r="T35"/>
    </row>
    <row r="36" spans="1:20" ht="15.75">
      <c r="A36" s="117" t="s">
        <v>59</v>
      </c>
      <c r="B36" s="116">
        <v>1</v>
      </c>
      <c r="C36" s="116">
        <v>2</v>
      </c>
      <c r="D36" s="116">
        <v>3</v>
      </c>
      <c r="E36" s="116">
        <v>0</v>
      </c>
      <c r="F36" s="116">
        <v>5</v>
      </c>
      <c r="G36" s="116">
        <v>7</v>
      </c>
      <c r="H36" s="116">
        <v>12</v>
      </c>
      <c r="I36" s="116">
        <v>30</v>
      </c>
      <c r="J36" s="116">
        <v>45</v>
      </c>
      <c r="K36" s="116">
        <v>0</v>
      </c>
      <c r="L36" s="116">
        <v>75</v>
      </c>
      <c r="M36" s="116">
        <v>180</v>
      </c>
      <c r="N36" s="116">
        <v>6</v>
      </c>
      <c r="O36"/>
      <c r="P36"/>
      <c r="Q36"/>
      <c r="R36"/>
      <c r="S36"/>
      <c r="T36"/>
    </row>
    <row r="37" spans="1:20" ht="15.75">
      <c r="A37" s="117" t="s">
        <v>40</v>
      </c>
      <c r="B37" s="116">
        <v>1</v>
      </c>
      <c r="C37" s="116">
        <v>0</v>
      </c>
      <c r="D37" s="116">
        <v>0</v>
      </c>
      <c r="E37" s="116">
        <v>3</v>
      </c>
      <c r="F37" s="116">
        <v>3</v>
      </c>
      <c r="G37" s="116">
        <v>3</v>
      </c>
      <c r="H37" s="116">
        <v>6</v>
      </c>
      <c r="I37" s="116">
        <v>0</v>
      </c>
      <c r="J37" s="116">
        <v>0</v>
      </c>
      <c r="K37" s="116">
        <v>45</v>
      </c>
      <c r="L37" s="116">
        <v>45</v>
      </c>
      <c r="M37" s="116">
        <v>90</v>
      </c>
      <c r="N37" s="116">
        <v>3</v>
      </c>
      <c r="O37"/>
      <c r="P37"/>
      <c r="Q37"/>
      <c r="R37"/>
      <c r="S37"/>
      <c r="T37"/>
    </row>
    <row r="38" spans="1:20" ht="15.75">
      <c r="A38" s="117" t="s">
        <v>96</v>
      </c>
      <c r="B38" s="116">
        <v>1</v>
      </c>
      <c r="C38" s="116">
        <v>2</v>
      </c>
      <c r="D38" s="116">
        <v>1</v>
      </c>
      <c r="E38" s="116">
        <v>0</v>
      </c>
      <c r="F38" s="116">
        <v>3</v>
      </c>
      <c r="G38" s="116">
        <v>5</v>
      </c>
      <c r="H38" s="116">
        <v>8</v>
      </c>
      <c r="I38" s="116">
        <v>30</v>
      </c>
      <c r="J38" s="116">
        <v>15</v>
      </c>
      <c r="K38" s="116">
        <v>0</v>
      </c>
      <c r="L38" s="116">
        <v>45</v>
      </c>
      <c r="M38" s="116">
        <v>120</v>
      </c>
      <c r="N38" s="116">
        <v>4</v>
      </c>
      <c r="O38"/>
      <c r="P38"/>
      <c r="Q38"/>
      <c r="R38"/>
      <c r="S38"/>
      <c r="T38"/>
    </row>
    <row r="39" spans="1:20" ht="15.75">
      <c r="A39" s="117" t="s">
        <v>47</v>
      </c>
      <c r="B39" s="116">
        <v>1</v>
      </c>
      <c r="C39" s="116">
        <v>1</v>
      </c>
      <c r="D39" s="116">
        <v>1</v>
      </c>
      <c r="E39" s="116">
        <v>0</v>
      </c>
      <c r="F39" s="116">
        <v>2</v>
      </c>
      <c r="G39" s="116">
        <v>3</v>
      </c>
      <c r="H39" s="116">
        <v>5</v>
      </c>
      <c r="I39" s="116">
        <v>15</v>
      </c>
      <c r="J39" s="116">
        <v>15</v>
      </c>
      <c r="K39" s="116">
        <v>0</v>
      </c>
      <c r="L39" s="116">
        <v>30</v>
      </c>
      <c r="M39" s="116">
        <v>75</v>
      </c>
      <c r="N39" s="116">
        <v>3</v>
      </c>
      <c r="O39"/>
      <c r="P39"/>
      <c r="Q39"/>
      <c r="R39"/>
      <c r="S39"/>
      <c r="T39"/>
    </row>
    <row r="40" spans="1:20" ht="15.75">
      <c r="A40" s="117" t="s">
        <v>56</v>
      </c>
      <c r="B40" s="116">
        <v>1</v>
      </c>
      <c r="C40" s="116">
        <v>1</v>
      </c>
      <c r="D40" s="116">
        <v>1</v>
      </c>
      <c r="E40" s="116">
        <v>0</v>
      </c>
      <c r="F40" s="116">
        <v>2</v>
      </c>
      <c r="G40" s="116">
        <v>3</v>
      </c>
      <c r="H40" s="116">
        <v>5</v>
      </c>
      <c r="I40" s="116">
        <v>15</v>
      </c>
      <c r="J40" s="116">
        <v>15</v>
      </c>
      <c r="K40" s="116">
        <v>0</v>
      </c>
      <c r="L40" s="116">
        <v>30</v>
      </c>
      <c r="M40" s="116">
        <v>75</v>
      </c>
      <c r="N40" s="116">
        <v>3</v>
      </c>
      <c r="O40"/>
      <c r="P40"/>
      <c r="Q40"/>
      <c r="R40"/>
      <c r="S40"/>
      <c r="T40"/>
    </row>
    <row r="41" spans="1:20" ht="15.75">
      <c r="A41" s="117" t="s">
        <v>106</v>
      </c>
      <c r="B41" s="116">
        <v>1</v>
      </c>
      <c r="C41" s="116">
        <v>2</v>
      </c>
      <c r="D41" s="116">
        <v>1</v>
      </c>
      <c r="E41" s="116">
        <v>0</v>
      </c>
      <c r="F41" s="116">
        <v>3</v>
      </c>
      <c r="G41" s="116">
        <v>5</v>
      </c>
      <c r="H41" s="116">
        <v>8</v>
      </c>
      <c r="I41" s="116">
        <v>30</v>
      </c>
      <c r="J41" s="116">
        <v>15</v>
      </c>
      <c r="K41" s="116">
        <v>0</v>
      </c>
      <c r="L41" s="116">
        <v>45</v>
      </c>
      <c r="M41" s="116">
        <v>120</v>
      </c>
      <c r="N41" s="116">
        <v>4</v>
      </c>
      <c r="O41"/>
      <c r="P41"/>
      <c r="Q41"/>
      <c r="R41"/>
      <c r="S41"/>
      <c r="T41"/>
    </row>
    <row r="42" spans="1:20" ht="15.75">
      <c r="A42" s="117" t="s">
        <v>83</v>
      </c>
      <c r="B42" s="116">
        <v>1</v>
      </c>
      <c r="C42" s="116">
        <v>2</v>
      </c>
      <c r="D42" s="116">
        <v>2</v>
      </c>
      <c r="E42" s="116">
        <v>0</v>
      </c>
      <c r="F42" s="116">
        <v>4</v>
      </c>
      <c r="G42" s="116">
        <v>6</v>
      </c>
      <c r="H42" s="116">
        <v>10</v>
      </c>
      <c r="I42" s="116">
        <v>30</v>
      </c>
      <c r="J42" s="116">
        <v>30</v>
      </c>
      <c r="K42" s="116">
        <v>0</v>
      </c>
      <c r="L42" s="116">
        <v>60</v>
      </c>
      <c r="M42" s="116">
        <v>150</v>
      </c>
      <c r="N42" s="116">
        <v>5</v>
      </c>
      <c r="O42"/>
      <c r="P42"/>
      <c r="Q42"/>
      <c r="R42"/>
      <c r="S42"/>
      <c r="T42"/>
    </row>
    <row r="43" spans="1:20" ht="15.75">
      <c r="A43" s="117" t="s">
        <v>78</v>
      </c>
      <c r="B43" s="116">
        <v>1</v>
      </c>
      <c r="C43" s="116">
        <v>2</v>
      </c>
      <c r="D43" s="116">
        <v>1</v>
      </c>
      <c r="E43" s="116">
        <v>0</v>
      </c>
      <c r="F43" s="116">
        <v>3</v>
      </c>
      <c r="G43" s="116">
        <v>5</v>
      </c>
      <c r="H43" s="116">
        <v>8</v>
      </c>
      <c r="I43" s="116">
        <v>30</v>
      </c>
      <c r="J43" s="116">
        <v>15</v>
      </c>
      <c r="K43" s="116">
        <v>0</v>
      </c>
      <c r="L43" s="116">
        <v>45</v>
      </c>
      <c r="M43" s="116">
        <v>120</v>
      </c>
      <c r="N43" s="116">
        <v>4</v>
      </c>
      <c r="O43"/>
      <c r="P43"/>
      <c r="Q43"/>
      <c r="R43"/>
      <c r="S43"/>
      <c r="T43"/>
    </row>
    <row r="44" spans="1:20" ht="15.75">
      <c r="A44" s="117" t="s">
        <v>102</v>
      </c>
      <c r="B44" s="116">
        <v>1</v>
      </c>
      <c r="C44" s="116">
        <v>1</v>
      </c>
      <c r="D44" s="116">
        <v>0</v>
      </c>
      <c r="E44" s="116">
        <v>2</v>
      </c>
      <c r="F44" s="116">
        <v>3</v>
      </c>
      <c r="G44" s="116">
        <v>4</v>
      </c>
      <c r="H44" s="116">
        <v>7</v>
      </c>
      <c r="I44" s="116">
        <v>15</v>
      </c>
      <c r="J44" s="116">
        <v>0</v>
      </c>
      <c r="K44" s="116">
        <v>30</v>
      </c>
      <c r="L44" s="116">
        <v>45</v>
      </c>
      <c r="M44" s="116">
        <v>105</v>
      </c>
      <c r="N44" s="116">
        <v>4</v>
      </c>
      <c r="O44"/>
      <c r="P44"/>
      <c r="Q44"/>
      <c r="R44"/>
      <c r="S44"/>
      <c r="T44"/>
    </row>
    <row r="45" spans="1:20" ht="15.75">
      <c r="A45" s="117" t="s">
        <v>115</v>
      </c>
      <c r="B45" s="116">
        <v>1</v>
      </c>
      <c r="C45" s="116">
        <v>1</v>
      </c>
      <c r="D45" s="116">
        <v>0</v>
      </c>
      <c r="E45" s="116">
        <v>2</v>
      </c>
      <c r="F45" s="116">
        <v>3</v>
      </c>
      <c r="G45" s="116">
        <v>4</v>
      </c>
      <c r="H45" s="116">
        <v>7</v>
      </c>
      <c r="I45" s="116">
        <v>15</v>
      </c>
      <c r="J45" s="116">
        <v>0</v>
      </c>
      <c r="K45" s="116">
        <v>30</v>
      </c>
      <c r="L45" s="116">
        <v>45</v>
      </c>
      <c r="M45" s="116">
        <v>105</v>
      </c>
      <c r="N45" s="116">
        <v>4</v>
      </c>
      <c r="O45"/>
      <c r="P45"/>
      <c r="Q45"/>
      <c r="R45"/>
      <c r="S45"/>
      <c r="T45"/>
    </row>
    <row r="46" spans="1:20" ht="15.75">
      <c r="A46" s="117" t="s">
        <v>134</v>
      </c>
      <c r="B46" s="116">
        <v>1</v>
      </c>
      <c r="C46" s="116">
        <v>1</v>
      </c>
      <c r="D46" s="116">
        <v>2</v>
      </c>
      <c r="E46" s="116">
        <v>0</v>
      </c>
      <c r="F46" s="116">
        <v>3</v>
      </c>
      <c r="G46" s="116">
        <v>4</v>
      </c>
      <c r="H46" s="116">
        <v>7</v>
      </c>
      <c r="I46" s="116">
        <v>15</v>
      </c>
      <c r="J46" s="116">
        <v>30</v>
      </c>
      <c r="K46" s="116">
        <v>0</v>
      </c>
      <c r="L46" s="116">
        <v>45</v>
      </c>
      <c r="M46" s="116">
        <v>105</v>
      </c>
      <c r="N46" s="116">
        <v>4</v>
      </c>
      <c r="O46"/>
      <c r="P46"/>
      <c r="Q46"/>
      <c r="R46"/>
      <c r="S46"/>
      <c r="T46"/>
    </row>
    <row r="47" spans="1:20" ht="15.75">
      <c r="A47" s="117" t="s">
        <v>71</v>
      </c>
      <c r="B47" s="116">
        <v>1</v>
      </c>
      <c r="C47" s="116">
        <v>1</v>
      </c>
      <c r="D47" s="116">
        <v>1</v>
      </c>
      <c r="E47" s="116">
        <v>0</v>
      </c>
      <c r="F47" s="116">
        <v>2</v>
      </c>
      <c r="G47" s="116">
        <v>3</v>
      </c>
      <c r="H47" s="116">
        <v>5</v>
      </c>
      <c r="I47" s="116">
        <v>15</v>
      </c>
      <c r="J47" s="116">
        <v>15</v>
      </c>
      <c r="K47" s="116">
        <v>0</v>
      </c>
      <c r="L47" s="116">
        <v>30</v>
      </c>
      <c r="M47" s="116">
        <v>75</v>
      </c>
      <c r="N47" s="116">
        <v>3</v>
      </c>
      <c r="O47"/>
      <c r="P47"/>
      <c r="Q47"/>
      <c r="R47"/>
      <c r="S47"/>
      <c r="T47"/>
    </row>
    <row r="48" spans="1:20" ht="15.75">
      <c r="A48" s="117" t="s">
        <v>195</v>
      </c>
      <c r="B48" s="116">
        <v>1</v>
      </c>
      <c r="C48" s="116">
        <v>0</v>
      </c>
      <c r="D48" s="116">
        <v>0</v>
      </c>
      <c r="E48" s="116">
        <v>4</v>
      </c>
      <c r="F48" s="116">
        <v>4</v>
      </c>
      <c r="G48" s="116">
        <v>4</v>
      </c>
      <c r="H48" s="116">
        <v>8</v>
      </c>
      <c r="I48" s="116">
        <v>0</v>
      </c>
      <c r="J48" s="116">
        <v>0</v>
      </c>
      <c r="K48" s="116">
        <v>60</v>
      </c>
      <c r="L48" s="116">
        <v>60</v>
      </c>
      <c r="M48" s="116">
        <v>120</v>
      </c>
      <c r="N48" s="116">
        <v>4</v>
      </c>
      <c r="O48"/>
      <c r="P48"/>
      <c r="Q48"/>
      <c r="R48"/>
      <c r="S48"/>
      <c r="T48"/>
    </row>
    <row r="49" spans="1:20" ht="15.75">
      <c r="A49" s="117" t="s">
        <v>120</v>
      </c>
      <c r="B49" s="116">
        <v>1</v>
      </c>
      <c r="C49" s="116">
        <v>0</v>
      </c>
      <c r="D49" s="116">
        <v>0</v>
      </c>
      <c r="E49" s="116">
        <v>3</v>
      </c>
      <c r="F49" s="116">
        <v>3</v>
      </c>
      <c r="G49" s="116">
        <v>3</v>
      </c>
      <c r="H49" s="116">
        <v>6</v>
      </c>
      <c r="I49" s="116">
        <v>0</v>
      </c>
      <c r="J49" s="116">
        <v>0</v>
      </c>
      <c r="K49" s="116">
        <v>45</v>
      </c>
      <c r="L49" s="116">
        <v>45</v>
      </c>
      <c r="M49" s="116">
        <v>90</v>
      </c>
      <c r="N49" s="116">
        <v>3</v>
      </c>
      <c r="O49"/>
      <c r="P49"/>
      <c r="Q49"/>
      <c r="R49"/>
      <c r="S49"/>
      <c r="T49"/>
    </row>
    <row r="50" spans="1:20" ht="15.75">
      <c r="A50" s="117" t="s">
        <v>84</v>
      </c>
      <c r="B50" s="116">
        <v>1</v>
      </c>
      <c r="C50" s="116">
        <v>2</v>
      </c>
      <c r="D50" s="116">
        <v>2</v>
      </c>
      <c r="E50" s="116">
        <v>0</v>
      </c>
      <c r="F50" s="116">
        <v>4</v>
      </c>
      <c r="G50" s="116">
        <v>6</v>
      </c>
      <c r="H50" s="116">
        <v>10</v>
      </c>
      <c r="I50" s="116">
        <v>30</v>
      </c>
      <c r="J50" s="116">
        <v>30</v>
      </c>
      <c r="K50" s="116">
        <v>0</v>
      </c>
      <c r="L50" s="116">
        <v>60</v>
      </c>
      <c r="M50" s="116">
        <v>150</v>
      </c>
      <c r="N50" s="116">
        <v>5</v>
      </c>
      <c r="O50"/>
      <c r="P50"/>
      <c r="Q50"/>
      <c r="R50"/>
      <c r="S50"/>
      <c r="T50"/>
    </row>
    <row r="51" spans="1:20" ht="15.75">
      <c r="A51" s="117" t="s">
        <v>116</v>
      </c>
      <c r="B51" s="116">
        <v>1</v>
      </c>
      <c r="C51" s="116">
        <v>2</v>
      </c>
      <c r="D51" s="116">
        <v>2</v>
      </c>
      <c r="E51" s="116">
        <v>0</v>
      </c>
      <c r="F51" s="116">
        <v>4</v>
      </c>
      <c r="G51" s="116">
        <v>6</v>
      </c>
      <c r="H51" s="116">
        <v>10</v>
      </c>
      <c r="I51" s="116">
        <v>30</v>
      </c>
      <c r="J51" s="116">
        <v>30</v>
      </c>
      <c r="K51" s="116">
        <v>0</v>
      </c>
      <c r="L51" s="116">
        <v>60</v>
      </c>
      <c r="M51" s="116">
        <v>150</v>
      </c>
      <c r="N51" s="116">
        <v>5</v>
      </c>
      <c r="O51"/>
      <c r="P51"/>
      <c r="Q51"/>
      <c r="R51"/>
      <c r="S51"/>
      <c r="T51"/>
    </row>
    <row r="52" spans="1:20" ht="15.75">
      <c r="A52" s="117" t="s">
        <v>89</v>
      </c>
      <c r="B52" s="116">
        <v>1</v>
      </c>
      <c r="C52" s="116">
        <v>0</v>
      </c>
      <c r="D52" s="116">
        <v>0</v>
      </c>
      <c r="E52" s="116">
        <v>2</v>
      </c>
      <c r="F52" s="116">
        <v>2</v>
      </c>
      <c r="G52" s="116">
        <v>2</v>
      </c>
      <c r="H52" s="116">
        <v>4</v>
      </c>
      <c r="I52" s="116">
        <v>0</v>
      </c>
      <c r="J52" s="116">
        <v>0</v>
      </c>
      <c r="K52" s="116">
        <v>30</v>
      </c>
      <c r="L52" s="116">
        <v>30</v>
      </c>
      <c r="M52" s="116">
        <v>60</v>
      </c>
      <c r="N52" s="116">
        <v>2</v>
      </c>
      <c r="O52"/>
      <c r="P52"/>
      <c r="Q52"/>
      <c r="R52"/>
      <c r="S52"/>
      <c r="T52"/>
    </row>
    <row r="53" spans="1:20" ht="15.75">
      <c r="A53" s="117" t="s">
        <v>38</v>
      </c>
      <c r="B53" s="116">
        <v>1</v>
      </c>
      <c r="C53" s="116">
        <v>1</v>
      </c>
      <c r="D53" s="116">
        <v>2</v>
      </c>
      <c r="E53" s="116">
        <v>0</v>
      </c>
      <c r="F53" s="116">
        <v>3</v>
      </c>
      <c r="G53" s="116">
        <v>4</v>
      </c>
      <c r="H53" s="116">
        <v>7</v>
      </c>
      <c r="I53" s="116">
        <v>15</v>
      </c>
      <c r="J53" s="116">
        <v>30</v>
      </c>
      <c r="K53" s="116">
        <v>0</v>
      </c>
      <c r="L53" s="116">
        <v>45</v>
      </c>
      <c r="M53" s="116">
        <v>105</v>
      </c>
      <c r="N53" s="116">
        <v>4</v>
      </c>
      <c r="O53"/>
      <c r="P53"/>
      <c r="Q53"/>
      <c r="R53"/>
      <c r="S53"/>
      <c r="T53"/>
    </row>
    <row r="54" spans="1:20" ht="15.75">
      <c r="A54" s="117" t="s">
        <v>52</v>
      </c>
      <c r="B54" s="116">
        <v>1</v>
      </c>
      <c r="C54" s="116">
        <v>2</v>
      </c>
      <c r="D54" s="116">
        <v>3</v>
      </c>
      <c r="E54" s="116">
        <v>0</v>
      </c>
      <c r="F54" s="116">
        <v>5</v>
      </c>
      <c r="G54" s="116">
        <v>7</v>
      </c>
      <c r="H54" s="116">
        <v>12</v>
      </c>
      <c r="I54" s="116">
        <v>30</v>
      </c>
      <c r="J54" s="116">
        <v>45</v>
      </c>
      <c r="K54" s="116">
        <v>0</v>
      </c>
      <c r="L54" s="116">
        <v>75</v>
      </c>
      <c r="M54" s="116">
        <v>180</v>
      </c>
      <c r="N54" s="116">
        <v>6</v>
      </c>
      <c r="O54"/>
      <c r="P54"/>
      <c r="Q54"/>
      <c r="R54"/>
      <c r="S54"/>
      <c r="T54"/>
    </row>
    <row r="55" spans="1:20" ht="15.75">
      <c r="A55" s="117" t="s">
        <v>101</v>
      </c>
      <c r="B55" s="116">
        <v>1</v>
      </c>
      <c r="C55" s="116">
        <v>0</v>
      </c>
      <c r="D55" s="116">
        <v>2</v>
      </c>
      <c r="E55" s="116">
        <v>0</v>
      </c>
      <c r="F55" s="116">
        <v>2</v>
      </c>
      <c r="G55" s="116">
        <v>2</v>
      </c>
      <c r="H55" s="116">
        <v>4</v>
      </c>
      <c r="I55" s="116">
        <v>0</v>
      </c>
      <c r="J55" s="116">
        <v>30</v>
      </c>
      <c r="K55" s="116">
        <v>0</v>
      </c>
      <c r="L55" s="116">
        <v>30</v>
      </c>
      <c r="M55" s="116">
        <v>60</v>
      </c>
      <c r="N55" s="116">
        <v>2</v>
      </c>
      <c r="O55"/>
      <c r="P55"/>
      <c r="Q55"/>
      <c r="R55"/>
      <c r="S55"/>
      <c r="T55"/>
    </row>
    <row r="56" spans="1:20" ht="15.75">
      <c r="A56" s="117" t="s">
        <v>81</v>
      </c>
      <c r="B56" s="116">
        <v>1</v>
      </c>
      <c r="C56" s="116">
        <v>2</v>
      </c>
      <c r="D56" s="116">
        <v>2</v>
      </c>
      <c r="E56" s="116">
        <v>0</v>
      </c>
      <c r="F56" s="116">
        <v>4</v>
      </c>
      <c r="G56" s="116">
        <v>6</v>
      </c>
      <c r="H56" s="116">
        <v>10</v>
      </c>
      <c r="I56" s="116">
        <v>30</v>
      </c>
      <c r="J56" s="116">
        <v>30</v>
      </c>
      <c r="K56" s="116">
        <v>0</v>
      </c>
      <c r="L56" s="116">
        <v>60</v>
      </c>
      <c r="M56" s="116">
        <v>150</v>
      </c>
      <c r="N56" s="116">
        <v>5</v>
      </c>
      <c r="O56"/>
      <c r="P56"/>
      <c r="Q56"/>
      <c r="R56"/>
      <c r="S56"/>
      <c r="T56"/>
    </row>
    <row r="57" spans="1:20" ht="15.75">
      <c r="A57" s="117" t="s">
        <v>128</v>
      </c>
      <c r="B57" s="116">
        <v>1</v>
      </c>
      <c r="C57" s="116">
        <v>0</v>
      </c>
      <c r="D57" s="116">
        <v>0</v>
      </c>
      <c r="E57" s="116">
        <v>0</v>
      </c>
      <c r="F57" s="116">
        <v>0</v>
      </c>
      <c r="G57" s="116">
        <v>16</v>
      </c>
      <c r="H57" s="116">
        <v>16</v>
      </c>
      <c r="I57" s="116">
        <v>0</v>
      </c>
      <c r="J57" s="116">
        <v>0</v>
      </c>
      <c r="K57" s="116">
        <v>0</v>
      </c>
      <c r="L57" s="116">
        <v>0</v>
      </c>
      <c r="M57" s="116">
        <v>240</v>
      </c>
      <c r="N57" s="116">
        <v>4</v>
      </c>
      <c r="O57"/>
      <c r="P57"/>
      <c r="Q57"/>
      <c r="R57"/>
      <c r="S57"/>
      <c r="T57"/>
    </row>
    <row r="58" spans="1:20" ht="15.75">
      <c r="A58" s="117" t="s">
        <v>36</v>
      </c>
      <c r="B58" s="116">
        <v>1</v>
      </c>
      <c r="C58" s="116">
        <v>3</v>
      </c>
      <c r="D58" s="116">
        <v>0</v>
      </c>
      <c r="E58" s="116">
        <v>0</v>
      </c>
      <c r="F58" s="116">
        <v>3</v>
      </c>
      <c r="G58" s="116">
        <v>6</v>
      </c>
      <c r="H58" s="116">
        <v>9</v>
      </c>
      <c r="I58" s="116">
        <v>45</v>
      </c>
      <c r="J58" s="116">
        <v>0</v>
      </c>
      <c r="K58" s="116">
        <v>0</v>
      </c>
      <c r="L58" s="116">
        <v>45</v>
      </c>
      <c r="M58" s="116">
        <v>135</v>
      </c>
      <c r="N58" s="116">
        <v>5</v>
      </c>
      <c r="O58"/>
      <c r="P58"/>
      <c r="Q58"/>
      <c r="R58"/>
      <c r="S58"/>
      <c r="T58"/>
    </row>
    <row r="59" spans="1:20" ht="15.75">
      <c r="A59" s="117" t="s">
        <v>213</v>
      </c>
      <c r="B59" s="116">
        <v>1</v>
      </c>
      <c r="C59" s="116">
        <v>2</v>
      </c>
      <c r="D59" s="116">
        <v>2</v>
      </c>
      <c r="E59" s="116">
        <v>0</v>
      </c>
      <c r="F59" s="116">
        <v>4</v>
      </c>
      <c r="G59" s="116">
        <v>6</v>
      </c>
      <c r="H59" s="116">
        <v>10</v>
      </c>
      <c r="I59" s="116">
        <v>30</v>
      </c>
      <c r="J59" s="116">
        <v>30</v>
      </c>
      <c r="K59" s="116">
        <v>0</v>
      </c>
      <c r="L59" s="116">
        <v>60</v>
      </c>
      <c r="M59" s="116">
        <v>150</v>
      </c>
      <c r="N59" s="116">
        <v>5</v>
      </c>
      <c r="O59"/>
      <c r="P59"/>
      <c r="Q59"/>
      <c r="R59"/>
      <c r="S59"/>
      <c r="T59"/>
    </row>
    <row r="60" spans="1:20" ht="15.75">
      <c r="A60" s="117" t="s">
        <v>82</v>
      </c>
      <c r="B60" s="116">
        <v>1</v>
      </c>
      <c r="C60" s="116">
        <v>0</v>
      </c>
      <c r="D60" s="116">
        <v>0</v>
      </c>
      <c r="E60" s="116">
        <v>3</v>
      </c>
      <c r="F60" s="116">
        <v>3</v>
      </c>
      <c r="G60" s="116">
        <v>3</v>
      </c>
      <c r="H60" s="116">
        <v>6</v>
      </c>
      <c r="I60" s="116">
        <v>0</v>
      </c>
      <c r="J60" s="116">
        <v>0</v>
      </c>
      <c r="K60" s="116">
        <v>45</v>
      </c>
      <c r="L60" s="116">
        <v>45</v>
      </c>
      <c r="M60" s="116">
        <v>90</v>
      </c>
      <c r="N60" s="116">
        <v>3</v>
      </c>
      <c r="O60"/>
      <c r="P60"/>
      <c r="Q60"/>
      <c r="R60"/>
      <c r="S60"/>
      <c r="T60"/>
    </row>
    <row r="61" spans="1:20" ht="15.75">
      <c r="A61" s="117" t="s">
        <v>62</v>
      </c>
      <c r="B61" s="116">
        <v>1</v>
      </c>
      <c r="C61" s="116">
        <v>2</v>
      </c>
      <c r="D61" s="116">
        <v>2</v>
      </c>
      <c r="E61" s="116">
        <v>2</v>
      </c>
      <c r="F61" s="116">
        <v>6</v>
      </c>
      <c r="G61" s="116">
        <v>8</v>
      </c>
      <c r="H61" s="116">
        <v>14</v>
      </c>
      <c r="I61" s="116">
        <v>30</v>
      </c>
      <c r="J61" s="116">
        <v>30</v>
      </c>
      <c r="K61" s="116">
        <v>30</v>
      </c>
      <c r="L61" s="116">
        <v>90</v>
      </c>
      <c r="M61" s="116">
        <v>210</v>
      </c>
      <c r="N61" s="116">
        <v>7</v>
      </c>
      <c r="O61"/>
      <c r="P61"/>
      <c r="Q61"/>
      <c r="R61"/>
      <c r="S61"/>
      <c r="T61"/>
    </row>
    <row r="62" spans="1:20" ht="15.75">
      <c r="A62" s="117" t="s">
        <v>104</v>
      </c>
      <c r="B62" s="116">
        <v>1</v>
      </c>
      <c r="C62" s="116">
        <v>2</v>
      </c>
      <c r="D62" s="116">
        <v>1</v>
      </c>
      <c r="E62" s="116">
        <v>2</v>
      </c>
      <c r="F62" s="116">
        <v>5</v>
      </c>
      <c r="G62" s="116">
        <v>7</v>
      </c>
      <c r="H62" s="116">
        <v>12</v>
      </c>
      <c r="I62" s="116">
        <v>30</v>
      </c>
      <c r="J62" s="116">
        <v>15</v>
      </c>
      <c r="K62" s="116">
        <v>30</v>
      </c>
      <c r="L62" s="116">
        <v>75</v>
      </c>
      <c r="M62" s="116">
        <v>180</v>
      </c>
      <c r="N62" s="116">
        <v>6</v>
      </c>
      <c r="O62"/>
      <c r="P62"/>
      <c r="Q62"/>
      <c r="R62"/>
      <c r="S62"/>
      <c r="T62"/>
    </row>
    <row r="63" spans="1:20" ht="15.75">
      <c r="A63" s="117" t="s">
        <v>111</v>
      </c>
      <c r="B63" s="116">
        <v>1</v>
      </c>
      <c r="I63" s="116">
        <v>0</v>
      </c>
      <c r="J63" s="116">
        <v>0</v>
      </c>
      <c r="K63" s="116">
        <v>0</v>
      </c>
      <c r="L63" s="116">
        <v>0</v>
      </c>
      <c r="M63" s="116">
        <v>0</v>
      </c>
      <c r="O63"/>
      <c r="P63"/>
      <c r="Q63"/>
      <c r="R63"/>
      <c r="S63"/>
      <c r="T63"/>
    </row>
    <row r="64" spans="1:20" ht="15.75">
      <c r="A64" s="117" t="s">
        <v>94</v>
      </c>
      <c r="B64" s="116">
        <v>1</v>
      </c>
      <c r="C64" s="116">
        <v>2</v>
      </c>
      <c r="D64" s="116">
        <v>3</v>
      </c>
      <c r="E64" s="116">
        <v>0</v>
      </c>
      <c r="F64" s="116">
        <v>5</v>
      </c>
      <c r="G64" s="116">
        <v>7</v>
      </c>
      <c r="H64" s="116">
        <v>12</v>
      </c>
      <c r="I64" s="116">
        <v>30</v>
      </c>
      <c r="J64" s="116">
        <v>45</v>
      </c>
      <c r="K64" s="116">
        <v>0</v>
      </c>
      <c r="L64" s="116">
        <v>75</v>
      </c>
      <c r="M64" s="116">
        <v>180</v>
      </c>
      <c r="N64" s="116">
        <v>6</v>
      </c>
      <c r="O64"/>
      <c r="P64"/>
      <c r="Q64"/>
      <c r="R64"/>
      <c r="S64"/>
      <c r="T64"/>
    </row>
    <row r="65" spans="1:20" ht="15.75">
      <c r="A65" s="117" t="s">
        <v>69</v>
      </c>
      <c r="B65" s="116">
        <v>1</v>
      </c>
      <c r="C65" s="116">
        <v>2</v>
      </c>
      <c r="D65" s="116">
        <v>1</v>
      </c>
      <c r="E65" s="116">
        <v>0</v>
      </c>
      <c r="F65" s="116">
        <v>3</v>
      </c>
      <c r="G65" s="116">
        <v>5</v>
      </c>
      <c r="H65" s="116">
        <v>8</v>
      </c>
      <c r="I65" s="116">
        <v>30</v>
      </c>
      <c r="J65" s="116">
        <v>15</v>
      </c>
      <c r="K65" s="116">
        <v>0</v>
      </c>
      <c r="L65" s="116">
        <v>45</v>
      </c>
      <c r="M65" s="116">
        <v>120</v>
      </c>
      <c r="N65" s="116">
        <v>4</v>
      </c>
      <c r="O65"/>
      <c r="P65"/>
      <c r="Q65"/>
      <c r="R65"/>
      <c r="S65"/>
      <c r="T65"/>
    </row>
    <row r="66" spans="1:20" ht="15.75">
      <c r="A66" s="117" t="s">
        <v>92</v>
      </c>
      <c r="B66" s="116">
        <v>1</v>
      </c>
      <c r="C66" s="116">
        <v>2</v>
      </c>
      <c r="D66" s="116">
        <v>2</v>
      </c>
      <c r="E66" s="116">
        <v>0</v>
      </c>
      <c r="F66" s="116">
        <v>4</v>
      </c>
      <c r="G66" s="116">
        <v>6</v>
      </c>
      <c r="H66" s="116">
        <v>10</v>
      </c>
      <c r="I66" s="116">
        <v>30</v>
      </c>
      <c r="J66" s="116">
        <v>30</v>
      </c>
      <c r="K66" s="116">
        <v>0</v>
      </c>
      <c r="L66" s="116">
        <v>60</v>
      </c>
      <c r="M66" s="116">
        <v>150</v>
      </c>
      <c r="N66" s="116">
        <v>5</v>
      </c>
      <c r="O66"/>
      <c r="P66"/>
      <c r="Q66"/>
      <c r="R66"/>
      <c r="S66"/>
      <c r="T66"/>
    </row>
    <row r="67" spans="1:20" ht="15.75">
      <c r="A67" s="117" t="s">
        <v>93</v>
      </c>
      <c r="B67" s="116">
        <v>1</v>
      </c>
      <c r="C67" s="116">
        <v>0</v>
      </c>
      <c r="D67" s="116">
        <v>0</v>
      </c>
      <c r="E67" s="116">
        <v>3</v>
      </c>
      <c r="F67" s="116">
        <v>3</v>
      </c>
      <c r="G67" s="116">
        <v>3</v>
      </c>
      <c r="H67" s="116">
        <v>6</v>
      </c>
      <c r="I67" s="116">
        <v>0</v>
      </c>
      <c r="J67" s="116">
        <v>0</v>
      </c>
      <c r="K67" s="116">
        <v>45</v>
      </c>
      <c r="L67" s="116">
        <v>45</v>
      </c>
      <c r="M67" s="116">
        <v>90</v>
      </c>
      <c r="N67" s="116">
        <v>3</v>
      </c>
      <c r="O67"/>
      <c r="P67"/>
      <c r="Q67"/>
      <c r="R67"/>
      <c r="S67"/>
      <c r="T67"/>
    </row>
    <row r="68" spans="1:20" ht="15.75">
      <c r="A68" s="117" t="s">
        <v>105</v>
      </c>
      <c r="B68" s="116">
        <v>1</v>
      </c>
      <c r="C68" s="116">
        <v>2</v>
      </c>
      <c r="D68" s="116">
        <v>1</v>
      </c>
      <c r="E68" s="116">
        <v>0</v>
      </c>
      <c r="F68" s="116">
        <v>3</v>
      </c>
      <c r="G68" s="116">
        <v>5</v>
      </c>
      <c r="H68" s="116">
        <v>8</v>
      </c>
      <c r="I68" s="116">
        <v>30</v>
      </c>
      <c r="J68" s="116">
        <v>15</v>
      </c>
      <c r="K68" s="116">
        <v>0</v>
      </c>
      <c r="L68" s="116">
        <v>45</v>
      </c>
      <c r="M68" s="116">
        <v>120</v>
      </c>
      <c r="N68" s="116">
        <v>4</v>
      </c>
      <c r="O68"/>
      <c r="P68"/>
      <c r="Q68"/>
      <c r="R68"/>
      <c r="S68"/>
      <c r="T68"/>
    </row>
    <row r="69" spans="1:20" ht="15.75">
      <c r="A69" s="117" t="s">
        <v>144</v>
      </c>
      <c r="B69" s="116">
        <v>1</v>
      </c>
      <c r="C69" s="116">
        <v>0</v>
      </c>
      <c r="D69" s="116">
        <v>0</v>
      </c>
      <c r="E69" s="116">
        <v>0</v>
      </c>
      <c r="F69" s="116">
        <v>0</v>
      </c>
      <c r="G69" s="116">
        <v>40</v>
      </c>
      <c r="H69" s="116">
        <v>40</v>
      </c>
      <c r="I69" s="116">
        <v>0</v>
      </c>
      <c r="J69" s="116">
        <v>0</v>
      </c>
      <c r="K69" s="116">
        <v>0</v>
      </c>
      <c r="L69" s="116">
        <v>0</v>
      </c>
      <c r="M69" s="116">
        <v>600</v>
      </c>
      <c r="N69" s="116">
        <v>21</v>
      </c>
      <c r="O69"/>
      <c r="P69"/>
      <c r="Q69"/>
      <c r="R69"/>
      <c r="S69"/>
      <c r="T69"/>
    </row>
    <row r="70" spans="1:20" ht="15.75">
      <c r="A70" s="117" t="s">
        <v>229</v>
      </c>
      <c r="B70" s="116">
        <v>58</v>
      </c>
      <c r="C70" s="116">
        <v>83</v>
      </c>
      <c r="D70" s="116">
        <v>75</v>
      </c>
      <c r="E70" s="116">
        <v>35</v>
      </c>
      <c r="F70" s="116">
        <v>193</v>
      </c>
      <c r="G70" s="116">
        <v>332</v>
      </c>
      <c r="H70" s="116">
        <v>525</v>
      </c>
      <c r="I70" s="116">
        <v>1245</v>
      </c>
      <c r="J70" s="116">
        <v>1125</v>
      </c>
      <c r="K70" s="116">
        <v>525</v>
      </c>
      <c r="L70" s="116">
        <v>2895</v>
      </c>
      <c r="M70" s="116">
        <v>7875</v>
      </c>
      <c r="N70" s="116">
        <v>265</v>
      </c>
      <c r="O70"/>
      <c r="P70"/>
      <c r="Q70"/>
      <c r="R70"/>
      <c r="S70"/>
      <c r="T7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6c86c3-6bfe-416e-9faf-73784f185352" xsi:nil="true"/>
    <lcf76f155ced4ddcb4097134ff3c332f xmlns="8394eb36-b144-436f-a63f-ea27643ad38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D40133A6AB8F4298EF7934C8B31CC6" ma:contentTypeVersion="15" ma:contentTypeDescription="Create a new document." ma:contentTypeScope="" ma:versionID="0716ce60e3143228b8379465e8d600a9">
  <xsd:schema xmlns:xsd="http://www.w3.org/2001/XMLSchema" xmlns:xs="http://www.w3.org/2001/XMLSchema" xmlns:p="http://schemas.microsoft.com/office/2006/metadata/properties" xmlns:ns2="8394eb36-b144-436f-a63f-ea27643ad383" xmlns:ns3="0b6c86c3-6bfe-416e-9faf-73784f185352" targetNamespace="http://schemas.microsoft.com/office/2006/metadata/properties" ma:root="true" ma:fieldsID="953c0a7eb628f608819199f5dd241a72" ns2:_="" ns3:_="">
    <xsd:import namespace="8394eb36-b144-436f-a63f-ea27643ad383"/>
    <xsd:import namespace="0b6c86c3-6bfe-416e-9faf-73784f1853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94eb36-b144-436f-a63f-ea27643ad3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7012091-08a1-45f2-be0f-d1a47fd7f5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c86c3-6bfe-416e-9faf-73784f18535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06d07bc-c320-410a-8e97-d46e811eaab3}" ma:internalName="TaxCatchAll" ma:showField="CatchAllData" ma:web="0b6c86c3-6bfe-416e-9faf-73784f1853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048521-150A-411B-B799-CD677C530618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0b6c86c3-6bfe-416e-9faf-73784f185352"/>
    <ds:schemaRef ds:uri="8394eb36-b144-436f-a63f-ea27643ad383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F0244F6-480D-4F22-AAED-B937FD088B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94eb36-b144-436f-a63f-ea27643ad383"/>
    <ds:schemaRef ds:uri="0b6c86c3-6bfe-416e-9faf-73784f1853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A37DEC-8271-4BD8-B82D-A92FA81EB5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INGENIERÍA INFORMÁTICA</vt:lpstr>
      <vt:lpstr>DETALLES</vt:lpstr>
      <vt:lpstr>Sheet2</vt:lpstr>
      <vt:lpstr>Sheet4</vt:lpstr>
      <vt:lpstr>DETALLES!Área_de_impresión</vt:lpstr>
      <vt:lpstr>'INGENIERÍA INFORMÁTICA'!Área_de_impresión</vt:lpstr>
      <vt:lpstr>DETALLES!Títulos_a_imprimir</vt:lpstr>
      <vt:lpstr>'INGENIERÍA INFORMÁTICA'!Títulos_a_imprimir</vt:lpstr>
    </vt:vector>
  </TitlesOfParts>
  <Manager/>
  <Company>UCAB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PHERNAN</dc:creator>
  <cp:keywords/>
  <dc:description/>
  <cp:lastModifiedBy>Franklin Bello</cp:lastModifiedBy>
  <cp:revision/>
  <cp:lastPrinted>2023-07-10T08:45:46Z</cp:lastPrinted>
  <dcterms:created xsi:type="dcterms:W3CDTF">2014-04-30T16:17:04Z</dcterms:created>
  <dcterms:modified xsi:type="dcterms:W3CDTF">2025-10-09T22:48:15Z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0x010100A9D40133A6AB8F4298EF7934C8B31CC6</vt:lpwstr>
  </property>
  <property fmtid="{D5CDD505-2E9C-101B-9397-08002B2CF9AE}" pid="3" name="MediaServiceImageTags">
    <vt:lpwstr/>
  </property>
</Properties>
</file>